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B953115A-C9B0-4DA7-B0CA-1A3BF81C1032}" xr6:coauthVersionLast="47" xr6:coauthVersionMax="47" xr10:uidLastSave="{00000000-0000-0000-0000-000000000000}"/>
  <bookViews>
    <workbookView xWindow="-108" yWindow="-108" windowWidth="23256" windowHeight="13176" activeTab="3" xr2:uid="{00000000-000D-0000-FFFF-FFFF00000000}"/>
  </bookViews>
  <sheets>
    <sheet name="Summary" sheetId="1" r:id="rId1"/>
    <sheet name="Dashboard" sheetId="2" r:id="rId2"/>
    <sheet name="Formulas" sheetId="3" r:id="rId3"/>
    <sheet name="slicer" sheetId="6" r:id="rId4"/>
    <sheet name="Harsh_ExcelDashboard" sheetId="4" r:id="rId5"/>
  </sheets>
  <definedNames>
    <definedName name="Slicer_Daily_Social_Media_Hours">#N/A</definedName>
    <definedName name="Slicer_Gender">#N/A</definedName>
    <definedName name="Slicer_Gender1">#N/A</definedName>
    <definedName name="Slicer_Platform_Usage">#N/A</definedName>
    <definedName name="Slicer_Platform_Usage1">#N/A</definedName>
    <definedName name="Slicer_Sleep_Hours">#N/A</definedName>
    <definedName name="Slicer_Social_Interaction_Lev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3" l="1"/>
  <c r="E32" i="3"/>
  <c r="E31" i="3"/>
  <c r="E30" i="3"/>
  <c r="E29" i="3"/>
  <c r="E28" i="3"/>
  <c r="E24" i="3"/>
  <c r="E23" i="3"/>
  <c r="E22" i="3"/>
  <c r="E21" i="3"/>
  <c r="E20" i="3"/>
  <c r="E19" i="3"/>
  <c r="E18" i="3"/>
  <c r="E17" i="3"/>
  <c r="E16" i="3"/>
  <c r="E15" i="3"/>
  <c r="E14" i="3"/>
  <c r="E13" i="3"/>
  <c r="E12" i="3"/>
  <c r="T7" i="3"/>
  <c r="I7" i="3"/>
  <c r="AB1" i="4"/>
</calcChain>
</file>

<file path=xl/sharedStrings.xml><?xml version="1.0" encoding="utf-8"?>
<sst xmlns="http://schemas.openxmlformats.org/spreadsheetml/2006/main" count="702" uniqueCount="52">
  <si>
    <t>GENDER VS SLEEP HOURS AND USE</t>
  </si>
  <si>
    <t>NESTED IF</t>
  </si>
  <si>
    <t>ACADEMIC PERFORMANCE</t>
  </si>
  <si>
    <t>INDEX-MATCH</t>
  </si>
  <si>
    <t>ACADEMEIC PERFOMANCE</t>
  </si>
  <si>
    <t>ENTER AGE</t>
  </si>
  <si>
    <t>Use VLOOKUP to find the Academic Performance of a student based on their Age.</t>
  </si>
  <si>
    <t>Average of Anxiety_Level</t>
  </si>
  <si>
    <t>Use IF function to classify students as “High Risk” or “Low Risk” based on Addiction Level.</t>
  </si>
  <si>
    <t>Average Daily use</t>
  </si>
  <si>
    <t>(blank)</t>
  </si>
  <si>
    <t>Addiction_Level</t>
  </si>
  <si>
    <t>Platform</t>
  </si>
  <si>
    <t>Anxiety_Level</t>
  </si>
  <si>
    <t>Stress_Level</t>
  </si>
  <si>
    <t>Physical_Activity</t>
  </si>
  <si>
    <t>RISK</t>
  </si>
  <si>
    <t>VLOOKUP</t>
  </si>
  <si>
    <t>Grand Total</t>
  </si>
  <si>
    <t>Academic_Performance</t>
  </si>
  <si>
    <t>Sleep_Hours</t>
  </si>
  <si>
    <t>SLEEP HOURS AND USE VS PLATFORM</t>
  </si>
  <si>
    <t>Stress Level</t>
  </si>
  <si>
    <t>Daily_Social_Media_Hours</t>
  </si>
  <si>
    <t>IF CONDITION</t>
  </si>
  <si>
    <t>Social_Interaction_Level</t>
  </si>
  <si>
    <t>Gender</t>
  </si>
  <si>
    <t>Age</t>
  </si>
  <si>
    <t>Use Nested IF to categorize Academic Performance of students.</t>
  </si>
  <si>
    <t>Both</t>
  </si>
  <si>
    <t>high</t>
  </si>
  <si>
    <t>Average of Academic_Performance</t>
  </si>
  <si>
    <t>TikTok</t>
  </si>
  <si>
    <t>PLATFORM USAGE VS ACADEMIC PERFORMANCE</t>
  </si>
  <si>
    <t>STRESS LEVEL</t>
  </si>
  <si>
    <t>Platform_Usage</t>
  </si>
  <si>
    <t>female</t>
  </si>
  <si>
    <t>Average  Sleep_Hours</t>
  </si>
  <si>
    <t>Screen_Time_Before_Sleep</t>
  </si>
  <si>
    <t>low</t>
  </si>
  <si>
    <t>STATUS</t>
  </si>
  <si>
    <t>Use INDEX-MATCH to find the Stress Level of a student based on Age.</t>
  </si>
  <si>
    <t>medium</t>
  </si>
  <si>
    <t>Instagram</t>
  </si>
  <si>
    <t>male</t>
  </si>
  <si>
    <t>Row Labels</t>
  </si>
  <si>
    <t>Average of Sleep_Hours</t>
  </si>
  <si>
    <t>Average of Daily_Social_Media_Hours</t>
  </si>
  <si>
    <t>Average of Age</t>
  </si>
  <si>
    <t>Average of Screen_Time_Before_Sleep</t>
  </si>
  <si>
    <t>Average of Physical_Activity</t>
  </si>
  <si>
    <t>Average of Stress_Level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</si>
</sst>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scheme val="minor"/>
    </font>
    <font>
      <b/>
      <sz val="11"/>
      <color theme="1"/>
      <name val="Calibri"/>
      <scheme val="minor"/>
    </font>
    <font>
      <b/>
      <u/>
      <sz val="11"/>
      <color theme="1"/>
      <name val="Calibri"/>
      <scheme val="minor"/>
    </font>
    <font>
      <b/>
      <sz val="11"/>
      <color theme="1"/>
      <name val="Aptos Narrow"/>
    </font>
  </fonts>
  <fills count="5">
    <fill>
      <patternFill patternType="none"/>
    </fill>
    <fill>
      <patternFill patternType="gray125"/>
    </fill>
    <fill>
      <patternFill patternType="solid">
        <fgColor theme="3" tint="0.39997558519241921"/>
        <bgColor rgb="FF000000"/>
      </patternFill>
    </fill>
    <fill>
      <patternFill patternType="solid">
        <fgColor theme="2" tint="-0.249977111117893"/>
        <bgColor rgb="FF000000"/>
      </patternFill>
    </fill>
    <fill>
      <patternFill patternType="solid">
        <fgColor theme="7" tint="0.59999389629810485"/>
        <bgColor rgb="FF000000"/>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45">
    <xf numFmtId="0" fontId="0" fillId="0" borderId="0" xfId="0"/>
    <xf numFmtId="0" fontId="0" fillId="0" borderId="0" xfId="0" applyAlignment="1">
      <alignment horizontal="left"/>
    </xf>
    <xf numFmtId="2" fontId="0" fillId="0" borderId="0" xfId="0" applyNumberFormat="1"/>
    <xf numFmtId="0" fontId="2" fillId="2" borderId="4" xfId="0" applyFont="1" applyFill="1" applyBorder="1"/>
    <xf numFmtId="0" fontId="1" fillId="2" borderId="4" xfId="0" applyFont="1" applyFill="1" applyBorder="1"/>
    <xf numFmtId="0" fontId="1" fillId="3" borderId="5" xfId="0" applyFont="1" applyFill="1" applyBorder="1"/>
    <xf numFmtId="0" fontId="1" fillId="3" borderId="6" xfId="0" applyFont="1" applyFill="1" applyBorder="1"/>
    <xf numFmtId="0" fontId="0" fillId="3" borderId="7" xfId="0" applyFill="1" applyBorder="1"/>
    <xf numFmtId="0" fontId="0" fillId="3" borderId="8" xfId="0" applyFill="1" applyBorder="1"/>
    <xf numFmtId="0" fontId="0" fillId="3" borderId="9" xfId="0" applyFill="1" applyBorder="1"/>
    <xf numFmtId="0" fontId="1" fillId="3" borderId="10" xfId="0" applyFont="1" applyFill="1" applyBorder="1"/>
    <xf numFmtId="0" fontId="1" fillId="3" borderId="11" xfId="0" applyFont="1"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3" borderId="17" xfId="0" applyFill="1" applyBorder="1"/>
    <xf numFmtId="0" fontId="0" fillId="0" borderId="22" xfId="0" applyBorder="1"/>
    <xf numFmtId="0" fontId="0" fillId="0" borderId="22" xfId="0" pivotButton="1" applyBorder="1"/>
    <xf numFmtId="0" fontId="0" fillId="0" borderId="24" xfId="0" applyBorder="1"/>
    <xf numFmtId="0" fontId="0" fillId="0" borderId="22" xfId="0" applyBorder="1" applyAlignment="1">
      <alignment horizontal="left"/>
    </xf>
    <xf numFmtId="0" fontId="0" fillId="0" borderId="23" xfId="0" applyBorder="1" applyAlignment="1">
      <alignment horizontal="left"/>
    </xf>
    <xf numFmtId="0" fontId="0" fillId="0" borderId="25" xfId="0" applyBorder="1"/>
    <xf numFmtId="0" fontId="0" fillId="0" borderId="27" xfId="0" applyBorder="1" applyAlignment="1">
      <alignment horizontal="left"/>
    </xf>
    <xf numFmtId="0" fontId="0" fillId="0" borderId="26" xfId="0" applyBorder="1"/>
    <xf numFmtId="0" fontId="0" fillId="0" borderId="28" xfId="0" applyBorder="1"/>
    <xf numFmtId="0" fontId="0" fillId="0" borderId="23" xfId="0" applyBorder="1"/>
    <xf numFmtId="0" fontId="0" fillId="0" borderId="29" xfId="0" applyBorder="1"/>
    <xf numFmtId="0" fontId="0" fillId="0" borderId="27" xfId="0" applyBorder="1"/>
    <xf numFmtId="0" fontId="0" fillId="0" borderId="30" xfId="0" applyBorder="1"/>
    <xf numFmtId="0" fontId="1" fillId="0" borderId="0" xfId="0" applyFont="1" applyAlignment="1">
      <alignment horizontal="center"/>
    </xf>
    <xf numFmtId="0" fontId="3" fillId="0" borderId="0" xfId="0" applyFont="1" applyAlignment="1">
      <alignment horizontal="center"/>
    </xf>
    <xf numFmtId="0" fontId="0" fillId="3" borderId="1" xfId="0" applyFill="1" applyBorder="1" applyAlignment="1">
      <alignment horizontal="center"/>
    </xf>
    <xf numFmtId="0" fontId="0" fillId="3" borderId="5" xfId="0" applyFill="1" applyBorder="1" applyAlignment="1">
      <alignment horizontal="center"/>
    </xf>
    <xf numFmtId="0" fontId="0" fillId="3" borderId="3" xfId="0" applyFill="1" applyBorder="1" applyAlignment="1">
      <alignment horizontal="center"/>
    </xf>
    <xf numFmtId="0" fontId="1" fillId="3" borderId="10" xfId="0" applyFont="1" applyFill="1" applyBorder="1" applyAlignment="1">
      <alignment horizontal="center"/>
    </xf>
    <xf numFmtId="0" fontId="1" fillId="3" borderId="18" xfId="0" applyFont="1" applyFill="1" applyBorder="1" applyAlignment="1">
      <alignment horizontal="center"/>
    </xf>
    <xf numFmtId="0" fontId="0" fillId="3" borderId="19" xfId="0" applyFill="1" applyBorder="1" applyAlignment="1">
      <alignment horizont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0" fillId="3" borderId="2" xfId="0" applyFill="1" applyBorder="1" applyAlignment="1">
      <alignment horizontal="center"/>
    </xf>
    <xf numFmtId="0" fontId="1" fillId="4" borderId="1" xfId="0" applyFont="1" applyFill="1" applyBorder="1"/>
    <xf numFmtId="0" fontId="1" fillId="4" borderId="2" xfId="0" applyFont="1" applyFill="1" applyBorder="1"/>
    <xf numFmtId="0" fontId="1" fillId="4" borderId="3" xfId="0" applyFont="1" applyFill="1" applyBorder="1"/>
  </cellXfs>
  <cellStyles count="1">
    <cellStyle name="Normal" xfId="0" builtinId="0"/>
  </cellStyles>
  <dxfs count="0"/>
  <tableStyles count="1" defaultTableStyle="TableStyleMedium2">
    <tableStyle name="Slicer Style 1"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vertOverflow="ellipsis" anchor="ctr"/>
          <a:lstStyle/>
          <a:p>
            <a:pPr>
              <a:defRPr>
                <a:latin typeface="Calibri"/>
                <a:cs typeface="Calibri"/>
              </a:defRPr>
            </a:pPr>
            <a:r>
              <a:rPr lang="en-IN" sz="2000" b="0" i="0">
                <a:solidFill>
                  <a:srgbClr val="000000"/>
                </a:solidFill>
              </a:rPr>
              <a:t>Chart Title</a:t>
            </a:r>
          </a:p>
        </c:rich>
      </c:tx>
      <c:overlay val="0"/>
    </c:title>
    <c:autoTitleDeleted val="0"/>
    <c:plotArea>
      <c:layout/>
      <c:barChart>
        <c:barDir val="col"/>
        <c:grouping val="clustered"/>
        <c:varyColors val="0"/>
        <c:ser>
          <c:idx val="0"/>
          <c:order val="0"/>
          <c:tx>
            <c:strRef>
              <c:f>Summary!$B$3</c:f>
              <c:strCache>
                <c:ptCount val="1"/>
                <c:pt idx="0">
                  <c:v>Average  Sleep_Hours</c:v>
                </c:pt>
              </c:strCache>
            </c:strRef>
          </c:tx>
          <c:spPr>
            <a:solidFill>
              <a:srgbClr val="3498DB">
                <a:alpha val="100000"/>
              </a:srgbClr>
            </a:solidFill>
            <a:ln w="28575">
              <a:noFill/>
            </a:ln>
          </c:spPr>
          <c:invertIfNegative val="0"/>
          <c:cat>
            <c:strRef>
              <c:f>Summary!$A$4:$A$8</c:f>
              <c:strCache>
                <c:ptCount val="5"/>
                <c:pt idx="0">
                  <c:v>Both</c:v>
                </c:pt>
                <c:pt idx="1">
                  <c:v>Instagram</c:v>
                </c:pt>
                <c:pt idx="2">
                  <c:v>TikTok</c:v>
                </c:pt>
                <c:pt idx="3">
                  <c:v>(blank)</c:v>
                </c:pt>
                <c:pt idx="4">
                  <c:v>Grand Total</c:v>
                </c:pt>
              </c:strCache>
            </c:strRef>
          </c:cat>
          <c:val>
            <c:numRef>
              <c:f>Summary!$B$4:$B$8</c:f>
              <c:numCache>
                <c:formatCode>0.00</c:formatCode>
                <c:ptCount val="5"/>
                <c:pt idx="0">
                  <c:v>6.60952380952381</c:v>
                </c:pt>
                <c:pt idx="1">
                  <c:v>6.4859154929577461</c:v>
                </c:pt>
                <c:pt idx="2">
                  <c:v>6.4954545454545443</c:v>
                </c:pt>
                <c:pt idx="4">
                  <c:v>6.5280000000000022</c:v>
                </c:pt>
              </c:numCache>
            </c:numRef>
          </c:val>
          <c:extLst>
            <c:ext xmlns:c16="http://schemas.microsoft.com/office/drawing/2014/chart" uri="{C3380CC4-5D6E-409C-BE32-E72D297353CC}">
              <c16:uniqueId val="{00000000-3B3B-40A2-865B-B34F1AD3987F}"/>
            </c:ext>
          </c:extLst>
        </c:ser>
        <c:ser>
          <c:idx val="1"/>
          <c:order val="1"/>
          <c:tx>
            <c:strRef>
              <c:f>Summary!$C$3</c:f>
              <c:strCache>
                <c:ptCount val="1"/>
                <c:pt idx="0">
                  <c:v>Average Daily use</c:v>
                </c:pt>
              </c:strCache>
            </c:strRef>
          </c:tx>
          <c:spPr>
            <a:solidFill>
              <a:srgbClr val="2ECC71">
                <a:alpha val="100000"/>
              </a:srgbClr>
            </a:solidFill>
            <a:ln w="28575">
              <a:noFill/>
            </a:ln>
          </c:spPr>
          <c:invertIfNegative val="0"/>
          <c:cat>
            <c:strRef>
              <c:f>Summary!$A$4:$A$8</c:f>
              <c:strCache>
                <c:ptCount val="5"/>
                <c:pt idx="0">
                  <c:v>Both</c:v>
                </c:pt>
                <c:pt idx="1">
                  <c:v>Instagram</c:v>
                </c:pt>
                <c:pt idx="2">
                  <c:v>TikTok</c:v>
                </c:pt>
                <c:pt idx="3">
                  <c:v>(blank)</c:v>
                </c:pt>
                <c:pt idx="4">
                  <c:v>Grand Total</c:v>
                </c:pt>
              </c:strCache>
            </c:strRef>
          </c:cat>
          <c:val>
            <c:numRef>
              <c:f>Summary!$C$4:$C$8</c:f>
              <c:numCache>
                <c:formatCode>0.00</c:formatCode>
                <c:ptCount val="5"/>
                <c:pt idx="0">
                  <c:v>4.5349206349206348</c:v>
                </c:pt>
                <c:pt idx="1">
                  <c:v>4.4042253521126771</c:v>
                </c:pt>
                <c:pt idx="2">
                  <c:v>4.1045454545454545</c:v>
                </c:pt>
                <c:pt idx="4">
                  <c:v>4.3464999999999989</c:v>
                </c:pt>
              </c:numCache>
            </c:numRef>
          </c:val>
          <c:extLst>
            <c:ext xmlns:c16="http://schemas.microsoft.com/office/drawing/2014/chart" uri="{C3380CC4-5D6E-409C-BE32-E72D297353CC}">
              <c16:uniqueId val="{00000001-3B3B-40A2-865B-B34F1AD3987F}"/>
            </c:ext>
          </c:extLst>
        </c:ser>
        <c:dLbls>
          <c:showLegendKey val="0"/>
          <c:showVal val="0"/>
          <c:showCatName val="0"/>
          <c:showSerName val="0"/>
          <c:showPercent val="0"/>
          <c:showBubbleSize val="0"/>
        </c:dLbls>
        <c:gapWidth val="150"/>
        <c:overlap val="-25"/>
        <c:axId val="1"/>
        <c:axId val="2"/>
      </c:barChart>
      <c:catAx>
        <c:axId val="1"/>
        <c:scaling>
          <c:orientation val="minMax"/>
        </c:scaling>
        <c:delete val="0"/>
        <c:axPos val="b"/>
        <c:numFmt formatCode="General" sourceLinked="1"/>
        <c:majorTickMark val="none"/>
        <c:minorTickMark val="none"/>
        <c:tickLblPos val="nextTo"/>
        <c:txPr>
          <a:bodyPr rot="0"/>
          <a:lstStyle/>
          <a:p>
            <a:pPr>
              <a:defRPr sz="900" b="0" i="0">
                <a:solidFill>
                  <a:srgbClr val="D9D9D9"/>
                </a:solidFill>
              </a:defRPr>
            </a:pPr>
            <a:endParaRPr lang="en-US"/>
          </a:p>
        </c:txPr>
        <c:crossAx val="2"/>
        <c:crosses val="autoZero"/>
        <c:auto val="1"/>
        <c:lblAlgn val="ctr"/>
        <c:lblOffset val="100"/>
        <c:noMultiLvlLbl val="1"/>
      </c:catAx>
      <c:valAx>
        <c:axId val="2"/>
        <c:scaling>
          <c:orientation val="minMax"/>
        </c:scaling>
        <c:delete val="0"/>
        <c:axPos val="l"/>
        <c:majorGridlines>
          <c:spPr>
            <a:ln>
              <a:solidFill>
                <a:srgbClr val="9D9D9D">
                  <a:alpha val="30000"/>
                </a:srgbClr>
              </a:solidFill>
              <a:prstDash val="solid"/>
            </a:ln>
          </c:spPr>
        </c:majorGridlines>
        <c:numFmt formatCode="0.00" sourceLinked="1"/>
        <c:majorTickMark val="none"/>
        <c:minorTickMark val="none"/>
        <c:tickLblPos val="nextTo"/>
        <c:txPr>
          <a:bodyPr/>
          <a:lstStyle/>
          <a:p>
            <a:pPr>
              <a:defRPr sz="900" b="0" i="0">
                <a:solidFill>
                  <a:srgbClr val="D9D9D9"/>
                </a:solidFill>
              </a:defRPr>
            </a:pPr>
            <a:endParaRPr lang="en-US"/>
          </a:p>
        </c:txPr>
        <c:crossAx val="1"/>
        <c:crosses val="autoZero"/>
        <c:crossBetween val="between"/>
      </c:valAx>
      <c:spPr>
        <a:noFill/>
        <a:ln>
          <a:noFill/>
        </a:ln>
      </c:spPr>
    </c:plotArea>
    <c:legend>
      <c:legendPos val="r"/>
      <c:overlay val="0"/>
      <c:txPr>
        <a:bodyPr/>
        <a:lstStyle/>
        <a:p>
          <a:pPr>
            <a:defRPr sz="900" b="0" i="0">
              <a:solidFill>
                <a:srgbClr val="D9D9D9"/>
              </a:solidFill>
            </a:defRPr>
          </a:pPr>
          <a:endParaRPr lang="en-US"/>
        </a:p>
      </c:txPr>
    </c:legend>
    <c:plotVisOnly val="1"/>
    <c:dispBlanksAs val="zero"/>
    <c:showDLblsOverMax val="1"/>
  </c:chart>
  <c:spPr>
    <a:solidFill>
      <a:srgbClr val="FFFFFF">
        <a:alpha val="100000"/>
      </a:srgbClr>
    </a:solidFill>
    <a:ln>
      <a:solidFill>
        <a:srgbClr val="D9D9D9"/>
      </a:solidFill>
    </a:ln>
  </c:spPr>
  <c:txPr>
    <a:bodyPr/>
    <a:lstStyle/>
    <a:p>
      <a:pPr>
        <a:defRPr>
          <a:latin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vertOverflow="ellipsis" anchor="ctr"/>
          <a:lstStyle/>
          <a:p>
            <a:pPr>
              <a:defRPr>
                <a:latin typeface="Calibri"/>
                <a:cs typeface="Calibri"/>
              </a:defRPr>
            </a:pPr>
            <a:r>
              <a:rPr lang="en-IN" sz="2000" b="0" i="0">
                <a:solidFill>
                  <a:srgbClr val="000000"/>
                </a:solidFill>
              </a:rPr>
              <a:t>Chart Title</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Summary!$H$3</c:f>
              <c:strCache>
                <c:ptCount val="1"/>
                <c:pt idx="0">
                  <c:v>Average  Sleep_Hours</c:v>
                </c:pt>
              </c:strCache>
            </c:strRef>
          </c:tx>
          <c:spPr>
            <a:solidFill>
              <a:srgbClr val="3498DB">
                <a:alpha val="100000"/>
              </a:srgbClr>
            </a:solidFill>
            <a:ln w="28575">
              <a:noFill/>
            </a:ln>
          </c:spPr>
          <c:invertIfNegative val="0"/>
          <c:cat>
            <c:strRef>
              <c:f>Summary!$G$4:$G$7</c:f>
              <c:strCache>
                <c:ptCount val="4"/>
                <c:pt idx="0">
                  <c:v>female</c:v>
                </c:pt>
                <c:pt idx="1">
                  <c:v>male</c:v>
                </c:pt>
                <c:pt idx="2">
                  <c:v>(blank)</c:v>
                </c:pt>
                <c:pt idx="3">
                  <c:v>Grand Total</c:v>
                </c:pt>
              </c:strCache>
            </c:strRef>
          </c:cat>
          <c:val>
            <c:numRef>
              <c:f>Summary!$H$4:$H$7</c:f>
              <c:numCache>
                <c:formatCode>0.00</c:formatCode>
                <c:ptCount val="4"/>
                <c:pt idx="0">
                  <c:v>6.7344444444444411</c:v>
                </c:pt>
                <c:pt idx="1">
                  <c:v>6.3590909090909085</c:v>
                </c:pt>
                <c:pt idx="3">
                  <c:v>6.5279999999999996</c:v>
                </c:pt>
              </c:numCache>
            </c:numRef>
          </c:val>
          <c:extLst>
            <c:ext xmlns:c16="http://schemas.microsoft.com/office/drawing/2014/chart" uri="{C3380CC4-5D6E-409C-BE32-E72D297353CC}">
              <c16:uniqueId val="{00000000-C74B-4880-9603-EE25ADD7E67C}"/>
            </c:ext>
          </c:extLst>
        </c:ser>
        <c:ser>
          <c:idx val="1"/>
          <c:order val="1"/>
          <c:tx>
            <c:strRef>
              <c:f>Summary!$I$3</c:f>
              <c:strCache>
                <c:ptCount val="1"/>
                <c:pt idx="0">
                  <c:v>Average Daily use</c:v>
                </c:pt>
              </c:strCache>
            </c:strRef>
          </c:tx>
          <c:spPr>
            <a:solidFill>
              <a:srgbClr val="2ECC71">
                <a:alpha val="100000"/>
              </a:srgbClr>
            </a:solidFill>
            <a:ln w="28575">
              <a:noFill/>
            </a:ln>
          </c:spPr>
          <c:invertIfNegative val="0"/>
          <c:cat>
            <c:strRef>
              <c:f>Summary!$G$4:$G$7</c:f>
              <c:strCache>
                <c:ptCount val="4"/>
                <c:pt idx="0">
                  <c:v>female</c:v>
                </c:pt>
                <c:pt idx="1">
                  <c:v>male</c:v>
                </c:pt>
                <c:pt idx="2">
                  <c:v>(blank)</c:v>
                </c:pt>
                <c:pt idx="3">
                  <c:v>Grand Total</c:v>
                </c:pt>
              </c:strCache>
            </c:strRef>
          </c:cat>
          <c:val>
            <c:numRef>
              <c:f>Summary!$I$4:$I$7</c:f>
              <c:numCache>
                <c:formatCode>0.00</c:formatCode>
                <c:ptCount val="4"/>
                <c:pt idx="0">
                  <c:v>4.3444444444444441</c:v>
                </c:pt>
                <c:pt idx="1">
                  <c:v>4.3481818181818186</c:v>
                </c:pt>
                <c:pt idx="3">
                  <c:v>4.3465000000000007</c:v>
                </c:pt>
              </c:numCache>
            </c:numRef>
          </c:val>
          <c:extLst>
            <c:ext xmlns:c16="http://schemas.microsoft.com/office/drawing/2014/chart" uri="{C3380CC4-5D6E-409C-BE32-E72D297353CC}">
              <c16:uniqueId val="{00000001-C74B-4880-9603-EE25ADD7E67C}"/>
            </c:ext>
          </c:extLst>
        </c:ser>
        <c:dLbls>
          <c:showLegendKey val="0"/>
          <c:showVal val="0"/>
          <c:showCatName val="0"/>
          <c:showSerName val="0"/>
          <c:showPercent val="0"/>
          <c:showBubbleSize val="0"/>
        </c:dLbls>
        <c:gapWidth val="150"/>
        <c:shape val="box"/>
        <c:axId val="1"/>
        <c:axId val="2"/>
        <c:axId val="0"/>
      </c:bar3DChart>
      <c:catAx>
        <c:axId val="1"/>
        <c:scaling>
          <c:orientation val="minMax"/>
        </c:scaling>
        <c:delete val="0"/>
        <c:axPos val="b"/>
        <c:numFmt formatCode="General" sourceLinked="1"/>
        <c:majorTickMark val="none"/>
        <c:minorTickMark val="none"/>
        <c:tickLblPos val="nextTo"/>
        <c:txPr>
          <a:bodyPr rot="0"/>
          <a:lstStyle/>
          <a:p>
            <a:pPr>
              <a:defRPr sz="900" b="0" i="0">
                <a:solidFill>
                  <a:srgbClr val="D9D9D9"/>
                </a:solidFill>
              </a:defRPr>
            </a:pPr>
            <a:endParaRPr lang="en-US"/>
          </a:p>
        </c:txPr>
        <c:crossAx val="2"/>
        <c:crosses val="autoZero"/>
        <c:auto val="1"/>
        <c:lblAlgn val="ctr"/>
        <c:lblOffset val="100"/>
        <c:noMultiLvlLbl val="1"/>
      </c:catAx>
      <c:valAx>
        <c:axId val="2"/>
        <c:scaling>
          <c:orientation val="minMax"/>
        </c:scaling>
        <c:delete val="0"/>
        <c:axPos val="l"/>
        <c:majorGridlines>
          <c:spPr>
            <a:ln>
              <a:solidFill>
                <a:srgbClr val="808080">
                  <a:alpha val="100000"/>
                </a:srgbClr>
              </a:solidFill>
              <a:prstDash val="solid"/>
            </a:ln>
          </c:spPr>
        </c:majorGridlines>
        <c:numFmt formatCode="0.00" sourceLinked="1"/>
        <c:majorTickMark val="none"/>
        <c:minorTickMark val="none"/>
        <c:tickLblPos val="nextTo"/>
        <c:txPr>
          <a:bodyPr/>
          <a:lstStyle/>
          <a:p>
            <a:pPr>
              <a:defRPr sz="900" b="0" i="0">
                <a:solidFill>
                  <a:srgbClr val="D9D9D9"/>
                </a:solidFill>
              </a:defRPr>
            </a:pPr>
            <a:endParaRPr lang="en-US"/>
          </a:p>
        </c:txPr>
        <c:crossAx val="1"/>
        <c:crosses val="autoZero"/>
        <c:crossBetween val="between"/>
      </c:valAx>
      <c:spPr>
        <a:noFill/>
        <a:ln>
          <a:noFill/>
        </a:ln>
      </c:spPr>
    </c:plotArea>
    <c:legend>
      <c:legendPos val="r"/>
      <c:overlay val="0"/>
      <c:txPr>
        <a:bodyPr/>
        <a:lstStyle/>
        <a:p>
          <a:pPr>
            <a:defRPr sz="900" b="0" i="0">
              <a:solidFill>
                <a:srgbClr val="D9D9D9"/>
              </a:solidFill>
            </a:defRPr>
          </a:pPr>
          <a:endParaRPr lang="en-US"/>
        </a:p>
      </c:txPr>
    </c:legend>
    <c:plotVisOnly val="1"/>
    <c:dispBlanksAs val="zero"/>
    <c:showDLblsOverMax val="1"/>
  </c:chart>
  <c:spPr>
    <a:solidFill>
      <a:srgbClr val="FFFFFF">
        <a:alpha val="100000"/>
      </a:srgbClr>
    </a:solidFill>
    <a:ln>
      <a:solidFill>
        <a:srgbClr val="D9D9D9"/>
      </a:solidFill>
    </a:ln>
  </c:spPr>
  <c:txPr>
    <a:bodyPr/>
    <a:lstStyle/>
    <a:p>
      <a:pPr>
        <a:defRPr>
          <a:latin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vertOverflow="ellipsis" anchor="ctr"/>
          <a:lstStyle/>
          <a:p>
            <a:pPr>
              <a:defRPr>
                <a:latin typeface="Calibri"/>
                <a:cs typeface="Calibri"/>
              </a:defRPr>
            </a:pPr>
            <a:r>
              <a:rPr lang="en-IN" sz="1400" b="1" i="0">
                <a:solidFill>
                  <a:srgbClr val="D9D9D9"/>
                </a:solidFill>
              </a:rPr>
              <a:t>Chart Title</a:t>
            </a:r>
          </a:p>
        </c:rich>
      </c:tx>
      <c:overlay val="0"/>
    </c:title>
    <c:autoTitleDeleted val="0"/>
    <c:plotArea>
      <c:layout/>
      <c:barChart>
        <c:barDir val="bar"/>
        <c:grouping val="clustered"/>
        <c:varyColors val="0"/>
        <c:ser>
          <c:idx val="0"/>
          <c:order val="0"/>
          <c:tx>
            <c:strRef>
              <c:f>Summary!$B$25</c:f>
              <c:strCache>
                <c:ptCount val="1"/>
                <c:pt idx="0">
                  <c:v>Average of Anxiety_Level</c:v>
                </c:pt>
              </c:strCache>
            </c:strRef>
          </c:tx>
          <c:spPr>
            <a:solidFill>
              <a:srgbClr val="3498DB">
                <a:alpha val="100000"/>
              </a:srgbClr>
            </a:solidFill>
            <a:ln w="28575">
              <a:solidFill>
                <a:srgbClr val="4472C4"/>
              </a:solidFill>
            </a:ln>
          </c:spPr>
          <c:invertIfNegative val="0"/>
          <c:cat>
            <c:strRef>
              <c:f>Summary!$A$26:$A$29</c:f>
              <c:strCache>
                <c:ptCount val="4"/>
                <c:pt idx="0">
                  <c:v>female</c:v>
                </c:pt>
                <c:pt idx="1">
                  <c:v>male</c:v>
                </c:pt>
                <c:pt idx="2">
                  <c:v>(blank)</c:v>
                </c:pt>
                <c:pt idx="3">
                  <c:v>Grand Total</c:v>
                </c:pt>
              </c:strCache>
            </c:strRef>
          </c:cat>
          <c:val>
            <c:numRef>
              <c:f>Summary!$B$26:$B$29</c:f>
              <c:numCache>
                <c:formatCode>0.00</c:formatCode>
                <c:ptCount val="4"/>
                <c:pt idx="0">
                  <c:v>5.7111111111111112</c:v>
                </c:pt>
                <c:pt idx="1">
                  <c:v>5.3272727272727272</c:v>
                </c:pt>
                <c:pt idx="3">
                  <c:v>5.5</c:v>
                </c:pt>
              </c:numCache>
            </c:numRef>
          </c:val>
          <c:extLst>
            <c:ext xmlns:c16="http://schemas.microsoft.com/office/drawing/2014/chart" uri="{C3380CC4-5D6E-409C-BE32-E72D297353CC}">
              <c16:uniqueId val="{00000000-BE90-4B60-B49A-DDE04395A384}"/>
            </c:ext>
          </c:extLst>
        </c:ser>
        <c:dLbls>
          <c:showLegendKey val="0"/>
          <c:showVal val="0"/>
          <c:showCatName val="0"/>
          <c:showSerName val="0"/>
          <c:showPercent val="0"/>
          <c:showBubbleSize val="0"/>
        </c:dLbls>
        <c:gapWidth val="150"/>
        <c:overlap val="-25"/>
        <c:axId val="1"/>
        <c:axId val="2"/>
      </c:barChart>
      <c:catAx>
        <c:axId val="1"/>
        <c:scaling>
          <c:orientation val="minMax"/>
        </c:scaling>
        <c:delete val="0"/>
        <c:axPos val="l"/>
        <c:majorGridlines>
          <c:spPr>
            <a:ln>
              <a:solidFill>
                <a:srgbClr val="9D9D9D">
                  <a:alpha val="30000"/>
                </a:srgbClr>
              </a:solidFill>
              <a:prstDash val="solid"/>
            </a:ln>
          </c:spPr>
        </c:majorGridlines>
        <c:numFmt formatCode="General" sourceLinked="1"/>
        <c:majorTickMark val="none"/>
        <c:minorTickMark val="none"/>
        <c:tickLblPos val="nextTo"/>
        <c:txPr>
          <a:bodyPr rot="0"/>
          <a:lstStyle/>
          <a:p>
            <a:pPr>
              <a:defRPr sz="900" b="0" i="0">
                <a:solidFill>
                  <a:srgbClr val="BFBFBF"/>
                </a:solidFill>
              </a:defRPr>
            </a:pPr>
            <a:endParaRPr lang="en-US"/>
          </a:p>
        </c:txPr>
        <c:crossAx val="2"/>
        <c:crosses val="autoZero"/>
        <c:auto val="1"/>
        <c:lblAlgn val="ctr"/>
        <c:lblOffset val="100"/>
        <c:noMultiLvlLbl val="1"/>
      </c:catAx>
      <c:valAx>
        <c:axId val="2"/>
        <c:scaling>
          <c:orientation val="minMax"/>
        </c:scaling>
        <c:delete val="0"/>
        <c:axPos val="b"/>
        <c:majorGridlines>
          <c:spPr>
            <a:ln>
              <a:solidFill>
                <a:srgbClr val="9D9D9D">
                  <a:alpha val="30000"/>
                </a:srgbClr>
              </a:solidFill>
              <a:prstDash val="solid"/>
            </a:ln>
          </c:spPr>
        </c:majorGridlines>
        <c:numFmt formatCode="0.00" sourceLinked="1"/>
        <c:majorTickMark val="none"/>
        <c:minorTickMark val="none"/>
        <c:tickLblPos val="nextTo"/>
        <c:txPr>
          <a:bodyPr/>
          <a:lstStyle/>
          <a:p>
            <a:pPr>
              <a:defRPr sz="900" b="0" i="0">
                <a:solidFill>
                  <a:srgbClr val="BFBFBF"/>
                </a:solidFill>
              </a:defRPr>
            </a:pPr>
            <a:endParaRPr lang="en-US"/>
          </a:p>
        </c:txPr>
        <c:crossAx val="1"/>
        <c:crosses val="autoZero"/>
        <c:crossBetween val="between"/>
      </c:valAx>
      <c:spPr>
        <a:noFill/>
        <a:ln>
          <a:noFill/>
        </a:ln>
      </c:spPr>
    </c:plotArea>
    <c:legend>
      <c:legendPos val="r"/>
      <c:overlay val="0"/>
      <c:txPr>
        <a:bodyPr/>
        <a:lstStyle/>
        <a:p>
          <a:pPr>
            <a:defRPr sz="900" b="0" i="0">
              <a:solidFill>
                <a:srgbClr val="BFBFBF"/>
              </a:solidFill>
            </a:defRPr>
          </a:pPr>
          <a:endParaRPr lang="en-US"/>
        </a:p>
      </c:txPr>
    </c:legend>
    <c:plotVisOnly val="1"/>
    <c:dispBlanksAs val="zero"/>
    <c:showDLblsOverMax val="1"/>
  </c:chart>
  <c:spPr>
    <a:solidFill>
      <a:srgbClr val="404040">
        <a:alpha val="100000"/>
      </a:srgbClr>
    </a:solidFill>
    <a:ln>
      <a:solidFill>
        <a:srgbClr val="D9D9D9"/>
      </a:solidFill>
    </a:ln>
  </c:spPr>
  <c:txPr>
    <a:bodyPr/>
    <a:lstStyle/>
    <a:p>
      <a:pPr>
        <a:defRPr>
          <a:latin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vertOverflow="ellipsis" anchor="ctr"/>
          <a:lstStyle/>
          <a:p>
            <a:pPr>
              <a:defRPr>
                <a:latin typeface="Calibri"/>
                <a:cs typeface="Calibri"/>
              </a:defRPr>
            </a:pPr>
            <a:r>
              <a:rPr lang="en-IN" sz="1500" b="1" i="0">
                <a:solidFill>
                  <a:srgbClr val="FFFFFF"/>
                </a:solidFill>
              </a:rPr>
              <a:t>Chart Title</a:t>
            </a:r>
          </a:p>
        </c:rich>
      </c:tx>
      <c:overlay val="0"/>
    </c:title>
    <c:autoTitleDeleted val="0"/>
    <c:plotArea>
      <c:layout/>
      <c:lineChart>
        <c:grouping val="standard"/>
        <c:varyColors val="0"/>
        <c:ser>
          <c:idx val="0"/>
          <c:order val="0"/>
          <c:tx>
            <c:strRef>
              <c:f>Summary!$H$25</c:f>
              <c:strCache>
                <c:ptCount val="1"/>
                <c:pt idx="0">
                  <c:v>Average of Academic_Performance</c:v>
                </c:pt>
              </c:strCache>
            </c:strRef>
          </c:tx>
          <c:spPr>
            <a:ln w="28575">
              <a:solidFill>
                <a:srgbClr val="FFFFFF"/>
              </a:solidFill>
              <a:prstDash val="solid"/>
            </a:ln>
          </c:spPr>
          <c:marker>
            <c:symbol val="circle"/>
            <c:size val="5"/>
            <c:spPr>
              <a:solidFill>
                <a:srgbClr val="4472C4"/>
              </a:solidFill>
              <a:ln>
                <a:solidFill>
                  <a:srgbClr val="FFFFFF"/>
                </a:solidFill>
              </a:ln>
            </c:spPr>
          </c:marker>
          <c:cat>
            <c:strRef>
              <c:f>Summary!$G$26:$G$29</c:f>
              <c:strCache>
                <c:ptCount val="4"/>
                <c:pt idx="0">
                  <c:v>high</c:v>
                </c:pt>
                <c:pt idx="1">
                  <c:v>low</c:v>
                </c:pt>
                <c:pt idx="2">
                  <c:v>medium</c:v>
                </c:pt>
                <c:pt idx="3">
                  <c:v>Grand Total</c:v>
                </c:pt>
              </c:strCache>
            </c:strRef>
          </c:cat>
          <c:val>
            <c:numRef>
              <c:f>Summary!$H$26:$H$29</c:f>
              <c:numCache>
                <c:formatCode>0.00</c:formatCode>
                <c:ptCount val="4"/>
                <c:pt idx="0">
                  <c:v>2.9479032258064519</c:v>
                </c:pt>
                <c:pt idx="1">
                  <c:v>2.9037931034482751</c:v>
                </c:pt>
                <c:pt idx="2">
                  <c:v>3.0937499999999991</c:v>
                </c:pt>
                <c:pt idx="3">
                  <c:v>2.9934500000000002</c:v>
                </c:pt>
              </c:numCache>
            </c:numRef>
          </c:val>
          <c:smooth val="0"/>
          <c:extLst>
            <c:ext xmlns:c16="http://schemas.microsoft.com/office/drawing/2014/chart" uri="{C3380CC4-5D6E-409C-BE32-E72D297353CC}">
              <c16:uniqueId val="{00000000-1E6C-4D81-BEC4-D303415D3A44}"/>
            </c:ext>
          </c:extLst>
        </c:ser>
        <c:dLbls>
          <c:showLegendKey val="0"/>
          <c:showVal val="0"/>
          <c:showCatName val="0"/>
          <c:showSerName val="0"/>
          <c:showPercent val="0"/>
          <c:showBubbleSize val="0"/>
        </c:dLbls>
        <c:marker val="1"/>
        <c:smooth val="0"/>
        <c:axId val="1"/>
        <c:axId val="2"/>
      </c:lineChart>
      <c:catAx>
        <c:axId val="1"/>
        <c:scaling>
          <c:orientation val="minMax"/>
        </c:scaling>
        <c:delete val="0"/>
        <c:axPos val="b"/>
        <c:numFmt formatCode="General" sourceLinked="1"/>
        <c:majorTickMark val="none"/>
        <c:minorTickMark val="none"/>
        <c:tickLblPos val="nextTo"/>
        <c:txPr>
          <a:bodyPr rot="0"/>
          <a:lstStyle/>
          <a:p>
            <a:pPr>
              <a:defRPr sz="900" b="0" i="0">
                <a:solidFill>
                  <a:srgbClr val="FFFFFF"/>
                </a:solidFill>
              </a:defRPr>
            </a:pPr>
            <a:endParaRPr lang="en-US"/>
          </a:p>
        </c:txPr>
        <c:crossAx val="2"/>
        <c:crosses val="autoZero"/>
        <c:auto val="1"/>
        <c:lblAlgn val="ctr"/>
        <c:lblOffset val="100"/>
        <c:noMultiLvlLbl val="1"/>
      </c:catAx>
      <c:valAx>
        <c:axId val="2"/>
        <c:scaling>
          <c:orientation val="minMax"/>
        </c:scaling>
        <c:delete val="0"/>
        <c:axPos val="l"/>
        <c:numFmt formatCode="0.00" sourceLinked="1"/>
        <c:majorTickMark val="none"/>
        <c:minorTickMark val="none"/>
        <c:tickLblPos val="nextTo"/>
        <c:txPr>
          <a:bodyPr/>
          <a:lstStyle/>
          <a:p>
            <a:pPr>
              <a:defRPr sz="900" b="0" i="0">
                <a:solidFill>
                  <a:srgbClr val="FFFFFF"/>
                </a:solidFill>
              </a:defRPr>
            </a:pPr>
            <a:endParaRPr lang="en-US"/>
          </a:p>
        </c:txPr>
        <c:crossAx val="1"/>
        <c:crosses val="autoZero"/>
        <c:crossBetween val="between"/>
      </c:valAx>
      <c:spPr>
        <a:noFill/>
        <a:ln>
          <a:noFill/>
        </a:ln>
      </c:spPr>
    </c:plotArea>
    <c:legend>
      <c:legendPos val="r"/>
      <c:overlay val="0"/>
      <c:txPr>
        <a:bodyPr/>
        <a:lstStyle/>
        <a:p>
          <a:pPr>
            <a:defRPr sz="900" b="0" i="0">
              <a:solidFill>
                <a:srgbClr val="FFFFFF"/>
              </a:solidFill>
            </a:defRPr>
          </a:pPr>
          <a:endParaRPr lang="en-US"/>
        </a:p>
      </c:txPr>
    </c:legend>
    <c:plotVisOnly val="1"/>
    <c:dispBlanksAs val="zero"/>
    <c:showDLblsOverMax val="1"/>
  </c:chart>
  <c:spPr>
    <a:solidFill>
      <a:srgbClr val="4472C4">
        <a:alpha val="100000"/>
      </a:srgbClr>
    </a:solidFill>
    <a:ln>
      <a:solidFill>
        <a:srgbClr val="4472C4"/>
      </a:solidFill>
    </a:ln>
  </c:spPr>
  <c:txPr>
    <a:bodyPr/>
    <a:lstStyle/>
    <a:p>
      <a:pPr>
        <a:defRPr>
          <a:latin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vertOverflow="ellipsis" anchor="ctr"/>
          <a:lstStyle/>
          <a:p>
            <a:pPr>
              <a:defRPr>
                <a:latin typeface="Calibri"/>
                <a:cs typeface="Calibri"/>
              </a:defRPr>
            </a:pPr>
            <a:r>
              <a:rPr lang="en-IN" sz="2000" b="0" i="0">
                <a:solidFill>
                  <a:srgbClr val="FFFFFF"/>
                </a:solidFill>
              </a:rPr>
              <a:t>Chart Title</a:t>
            </a:r>
          </a:p>
        </c:rich>
      </c:tx>
      <c:overlay val="0"/>
    </c:title>
    <c:autoTitleDeleted val="0"/>
    <c:plotArea>
      <c:layout>
        <c:manualLayout>
          <c:layoutTarget val="inner"/>
          <c:xMode val="edge"/>
          <c:yMode val="edge"/>
          <c:x val="3.9285777234275239E-2"/>
          <c:y val="0.20539412136973353"/>
          <c:w val="0.78104907793547429"/>
          <c:h val="0.68732717568381441"/>
        </c:manualLayout>
      </c:layout>
      <c:barChart>
        <c:barDir val="col"/>
        <c:grouping val="clustered"/>
        <c:varyColors val="0"/>
        <c:ser>
          <c:idx val="0"/>
          <c:order val="0"/>
          <c:tx>
            <c:strRef>
              <c:f>Summary!$B$3</c:f>
              <c:strCache>
                <c:ptCount val="1"/>
                <c:pt idx="0">
                  <c:v>Average  Sleep_Hours</c:v>
                </c:pt>
              </c:strCache>
            </c:strRef>
          </c:tx>
          <c:spPr>
            <a:solidFill>
              <a:srgbClr val="3498DB">
                <a:alpha val="100000"/>
              </a:srgbClr>
            </a:solidFill>
            <a:ln w="28575">
              <a:solidFill>
                <a:srgbClr val="4472C4"/>
              </a:solidFill>
            </a:ln>
          </c:spPr>
          <c:invertIfNegative val="0"/>
          <c:cat>
            <c:strRef>
              <c:f>Summary!$A$4:$A$8</c:f>
              <c:strCache>
                <c:ptCount val="5"/>
                <c:pt idx="0">
                  <c:v>Both</c:v>
                </c:pt>
                <c:pt idx="1">
                  <c:v>Instagram</c:v>
                </c:pt>
                <c:pt idx="2">
                  <c:v>TikTok</c:v>
                </c:pt>
                <c:pt idx="3">
                  <c:v>(blank)</c:v>
                </c:pt>
                <c:pt idx="4">
                  <c:v>Grand Total</c:v>
                </c:pt>
              </c:strCache>
            </c:strRef>
          </c:cat>
          <c:val>
            <c:numRef>
              <c:f>Summary!$B$4:$B$8</c:f>
              <c:numCache>
                <c:formatCode>0.00</c:formatCode>
                <c:ptCount val="5"/>
                <c:pt idx="0">
                  <c:v>6.60952380952381</c:v>
                </c:pt>
                <c:pt idx="1">
                  <c:v>6.4859154929577461</c:v>
                </c:pt>
                <c:pt idx="2">
                  <c:v>6.4954545454545443</c:v>
                </c:pt>
                <c:pt idx="4">
                  <c:v>6.5280000000000022</c:v>
                </c:pt>
              </c:numCache>
            </c:numRef>
          </c:val>
          <c:extLst>
            <c:ext xmlns:c16="http://schemas.microsoft.com/office/drawing/2014/chart" uri="{C3380CC4-5D6E-409C-BE32-E72D297353CC}">
              <c16:uniqueId val="{00000000-1C69-45DE-A189-C302CFBE5518}"/>
            </c:ext>
          </c:extLst>
        </c:ser>
        <c:ser>
          <c:idx val="1"/>
          <c:order val="1"/>
          <c:tx>
            <c:strRef>
              <c:f>Summary!$C$3</c:f>
              <c:strCache>
                <c:ptCount val="1"/>
                <c:pt idx="0">
                  <c:v>Average Daily use</c:v>
                </c:pt>
              </c:strCache>
            </c:strRef>
          </c:tx>
          <c:spPr>
            <a:solidFill>
              <a:srgbClr val="2ECC71">
                <a:alpha val="100000"/>
              </a:srgbClr>
            </a:solidFill>
            <a:ln w="28575">
              <a:solidFill>
                <a:srgbClr val="ED7D31"/>
              </a:solidFill>
            </a:ln>
          </c:spPr>
          <c:invertIfNegative val="0"/>
          <c:cat>
            <c:strRef>
              <c:f>Summary!$A$4:$A$8</c:f>
              <c:strCache>
                <c:ptCount val="5"/>
                <c:pt idx="0">
                  <c:v>Both</c:v>
                </c:pt>
                <c:pt idx="1">
                  <c:v>Instagram</c:v>
                </c:pt>
                <c:pt idx="2">
                  <c:v>TikTok</c:v>
                </c:pt>
                <c:pt idx="3">
                  <c:v>(blank)</c:v>
                </c:pt>
                <c:pt idx="4">
                  <c:v>Grand Total</c:v>
                </c:pt>
              </c:strCache>
            </c:strRef>
          </c:cat>
          <c:val>
            <c:numRef>
              <c:f>Summary!$C$4:$C$8</c:f>
              <c:numCache>
                <c:formatCode>0.00</c:formatCode>
                <c:ptCount val="5"/>
                <c:pt idx="0">
                  <c:v>4.5349206349206348</c:v>
                </c:pt>
                <c:pt idx="1">
                  <c:v>4.4042253521126771</c:v>
                </c:pt>
                <c:pt idx="2">
                  <c:v>4.1045454545454545</c:v>
                </c:pt>
                <c:pt idx="4">
                  <c:v>4.3464999999999989</c:v>
                </c:pt>
              </c:numCache>
            </c:numRef>
          </c:val>
          <c:extLst>
            <c:ext xmlns:c16="http://schemas.microsoft.com/office/drawing/2014/chart" uri="{C3380CC4-5D6E-409C-BE32-E72D297353CC}">
              <c16:uniqueId val="{00000001-1C69-45DE-A189-C302CFBE5518}"/>
            </c:ext>
          </c:extLst>
        </c:ser>
        <c:dLbls>
          <c:showLegendKey val="0"/>
          <c:showVal val="0"/>
          <c:showCatName val="0"/>
          <c:showSerName val="0"/>
          <c:showPercent val="0"/>
          <c:showBubbleSize val="0"/>
        </c:dLbls>
        <c:gapWidth val="150"/>
        <c:overlap val="-25"/>
        <c:axId val="1"/>
        <c:axId val="2"/>
      </c:barChart>
      <c:catAx>
        <c:axId val="1"/>
        <c:scaling>
          <c:orientation val="minMax"/>
        </c:scaling>
        <c:delete val="0"/>
        <c:axPos val="b"/>
        <c:majorGridlines>
          <c:spPr>
            <a:ln>
              <a:solidFill>
                <a:srgbClr val="9D9D9D">
                  <a:alpha val="30000"/>
                </a:srgbClr>
              </a:solidFill>
              <a:prstDash val="solid"/>
            </a:ln>
          </c:spPr>
        </c:majorGridlines>
        <c:numFmt formatCode="General" sourceLinked="1"/>
        <c:majorTickMark val="none"/>
        <c:minorTickMark val="none"/>
        <c:tickLblPos val="nextTo"/>
        <c:txPr>
          <a:bodyPr rot="0"/>
          <a:lstStyle/>
          <a:p>
            <a:pPr>
              <a:defRPr sz="900" b="0" i="0">
                <a:solidFill>
                  <a:srgbClr val="BFBFBF"/>
                </a:solidFill>
              </a:defRPr>
            </a:pPr>
            <a:endParaRPr lang="en-US"/>
          </a:p>
        </c:txPr>
        <c:crossAx val="2"/>
        <c:crosses val="autoZero"/>
        <c:auto val="1"/>
        <c:lblAlgn val="ctr"/>
        <c:lblOffset val="100"/>
        <c:noMultiLvlLbl val="1"/>
      </c:catAx>
      <c:valAx>
        <c:axId val="2"/>
        <c:scaling>
          <c:orientation val="minMax"/>
        </c:scaling>
        <c:delete val="0"/>
        <c:axPos val="l"/>
        <c:majorGridlines>
          <c:spPr>
            <a:ln>
              <a:solidFill>
                <a:srgbClr val="9D9D9D">
                  <a:alpha val="30000"/>
                </a:srgbClr>
              </a:solidFill>
              <a:prstDash val="solid"/>
            </a:ln>
          </c:spPr>
        </c:majorGridlines>
        <c:numFmt formatCode="0.00" sourceLinked="1"/>
        <c:majorTickMark val="none"/>
        <c:minorTickMark val="none"/>
        <c:tickLblPos val="nextTo"/>
        <c:txPr>
          <a:bodyPr/>
          <a:lstStyle/>
          <a:p>
            <a:pPr>
              <a:defRPr sz="900" b="0" i="0">
                <a:solidFill>
                  <a:srgbClr val="BFBFBF"/>
                </a:solidFill>
              </a:defRPr>
            </a:pPr>
            <a:endParaRPr lang="en-US"/>
          </a:p>
        </c:txPr>
        <c:crossAx val="1"/>
        <c:crosses val="autoZero"/>
        <c:crossBetween val="between"/>
      </c:valAx>
      <c:spPr>
        <a:noFill/>
        <a:ln>
          <a:noFill/>
        </a:ln>
      </c:spPr>
    </c:plotArea>
    <c:legend>
      <c:legendPos val="r"/>
      <c:overlay val="0"/>
      <c:txPr>
        <a:bodyPr/>
        <a:lstStyle/>
        <a:p>
          <a:pPr>
            <a:defRPr sz="900" b="0" i="0">
              <a:solidFill>
                <a:srgbClr val="BFBFBF"/>
              </a:solidFill>
            </a:defRPr>
          </a:pPr>
          <a:endParaRPr lang="en-US"/>
        </a:p>
      </c:txPr>
    </c:legend>
    <c:plotVisOnly val="1"/>
    <c:dispBlanksAs val="zero"/>
    <c:showDLblsOverMax val="1"/>
  </c:chart>
  <c:spPr>
    <a:solidFill>
      <a:srgbClr val="404040">
        <a:alpha val="100000"/>
      </a:srgbClr>
    </a:solidFill>
    <a:ln>
      <a:solidFill>
        <a:srgbClr val="D9D9D9"/>
      </a:solidFill>
    </a:ln>
  </c:spPr>
  <c:txPr>
    <a:bodyPr/>
    <a:lstStyle/>
    <a:p>
      <a:pPr>
        <a:defRPr>
          <a:latin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Chart Title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Summary!$H$3</c:f>
              <c:strCache>
                <c:ptCount val="1"/>
                <c:pt idx="0">
                  <c:v>Average  Sleep_Hours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Summary!$G$4:$G$7</c:f>
              <c:strCache>
                <c:ptCount val="4"/>
                <c:pt idx="0">
                  <c:v>female</c:v>
                </c:pt>
                <c:pt idx="1">
                  <c:v>male</c:v>
                </c:pt>
                <c:pt idx="2">
                  <c:v>(blank)</c:v>
                </c:pt>
                <c:pt idx="3">
                  <c:v>Grand Total</c:v>
                </c:pt>
              </c:strCache>
            </c:strRef>
          </c:cat>
          <c:val>
            <c:numRef>
              <c:f>Summary!$H$4:$H$7</c:f>
              <c:numCache>
                <c:formatCode>0.00</c:formatCode>
                <c:ptCount val="4"/>
                <c:pt idx="0">
                  <c:v>6.7344444444444411</c:v>
                </c:pt>
                <c:pt idx="1">
                  <c:v>6.3590909090909085</c:v>
                </c:pt>
                <c:pt idx="3">
                  <c:v>6.5279999999999996</c:v>
                </c:pt>
              </c:numCache>
            </c:numRef>
          </c:val>
          <c:extLst>
            <c:ext xmlns:c16="http://schemas.microsoft.com/office/drawing/2014/chart" uri="{C3380CC4-5D6E-409C-BE32-E72D297353CC}">
              <c16:uniqueId val="{00000000-CA80-42ED-BDCD-20673E7F1726}"/>
            </c:ext>
          </c:extLst>
        </c:ser>
        <c:ser>
          <c:idx val="1"/>
          <c:order val="1"/>
          <c:tx>
            <c:strRef>
              <c:f>Summary!$I$3</c:f>
              <c:strCache>
                <c:ptCount val="1"/>
                <c:pt idx="0">
                  <c:v>Average Daily use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Summary!$G$4:$G$7</c:f>
              <c:strCache>
                <c:ptCount val="4"/>
                <c:pt idx="0">
                  <c:v>female</c:v>
                </c:pt>
                <c:pt idx="1">
                  <c:v>male</c:v>
                </c:pt>
                <c:pt idx="2">
                  <c:v>(blank)</c:v>
                </c:pt>
                <c:pt idx="3">
                  <c:v>Grand Total</c:v>
                </c:pt>
              </c:strCache>
            </c:strRef>
          </c:cat>
          <c:val>
            <c:numRef>
              <c:f>Summary!$I$4:$I$7</c:f>
              <c:numCache>
                <c:formatCode>0.00</c:formatCode>
                <c:ptCount val="4"/>
                <c:pt idx="0">
                  <c:v>4.3444444444444441</c:v>
                </c:pt>
                <c:pt idx="1">
                  <c:v>4.3481818181818186</c:v>
                </c:pt>
                <c:pt idx="3">
                  <c:v>4.3465000000000007</c:v>
                </c:pt>
              </c:numCache>
            </c:numRef>
          </c:val>
          <c:extLst>
            <c:ext xmlns:c16="http://schemas.microsoft.com/office/drawing/2014/chart" uri="{C3380CC4-5D6E-409C-BE32-E72D297353CC}">
              <c16:uniqueId val="{00000001-CA80-42ED-BDCD-20673E7F1726}"/>
            </c:ext>
          </c:extLst>
        </c:ser>
        <c:dLbls>
          <c:showLegendKey val="0"/>
          <c:showVal val="1"/>
          <c:showCatName val="0"/>
          <c:showSerName val="0"/>
          <c:showPercent val="0"/>
          <c:showBubbleSize val="0"/>
        </c:dLbls>
        <c:gapWidth val="84"/>
        <c:gapDepth val="53"/>
        <c:shape val="box"/>
        <c:axId val="1"/>
        <c:axId val="2"/>
        <c:axId val="0"/>
      </c:bar3DChart>
      <c:catAx>
        <c:axId val="1"/>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1"/>
        <c:axPos val="l"/>
        <c:numFmt formatCode="0.00" sourceLinked="1"/>
        <c:majorTickMark val="out"/>
        <c:minorTickMark val="none"/>
        <c:tickLblPos val="nextTo"/>
        <c:crossAx val="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1"/>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Chart Title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Summary!$H$25</c:f>
              <c:strCache>
                <c:ptCount val="1"/>
                <c:pt idx="0">
                  <c:v>Average of Academic_Performance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Summary!$G$26:$G$29</c:f>
              <c:strCache>
                <c:ptCount val="4"/>
                <c:pt idx="0">
                  <c:v>high</c:v>
                </c:pt>
                <c:pt idx="1">
                  <c:v>low</c:v>
                </c:pt>
                <c:pt idx="2">
                  <c:v>medium</c:v>
                </c:pt>
                <c:pt idx="3">
                  <c:v>Grand Total</c:v>
                </c:pt>
              </c:strCache>
            </c:strRef>
          </c:cat>
          <c:val>
            <c:numRef>
              <c:f>Summary!$H$26:$H$29</c:f>
              <c:numCache>
                <c:formatCode>0.00</c:formatCode>
                <c:ptCount val="4"/>
                <c:pt idx="0">
                  <c:v>2.9479032258064519</c:v>
                </c:pt>
                <c:pt idx="1">
                  <c:v>2.9037931034482751</c:v>
                </c:pt>
                <c:pt idx="2">
                  <c:v>3.0937499999999991</c:v>
                </c:pt>
                <c:pt idx="3">
                  <c:v>2.9934500000000002</c:v>
                </c:pt>
              </c:numCache>
            </c:numRef>
          </c:val>
          <c:smooth val="0"/>
          <c:extLst>
            <c:ext xmlns:c16="http://schemas.microsoft.com/office/drawing/2014/chart" uri="{C3380CC4-5D6E-409C-BE32-E72D297353CC}">
              <c16:uniqueId val="{00000000-2D5D-4FF2-BD4F-2FE3278E9FC6}"/>
            </c:ext>
          </c:extLst>
        </c:ser>
        <c:dLbls>
          <c:dLblPos val="ctr"/>
          <c:showLegendKey val="0"/>
          <c:showVal val="1"/>
          <c:showCatName val="0"/>
          <c:showSerName val="0"/>
          <c:showPercent val="0"/>
          <c:showBubbleSize val="0"/>
        </c:dLbls>
        <c:smooth val="0"/>
        <c:axId val="1"/>
        <c:axId val="2"/>
      </c:lineChart>
      <c:catAx>
        <c:axId val="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1"/>
      </c:catAx>
      <c:valAx>
        <c:axId val="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Harsh_ExcelDashboard-2.xlsx]slicer!PivotTable1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slicer!$B$3</c:f>
              <c:strCache>
                <c:ptCount val="1"/>
                <c:pt idx="0">
                  <c:v>Average of Sleep_Hours</c:v>
                </c:pt>
              </c:strCache>
            </c:strRef>
          </c:tx>
          <c:spPr>
            <a:solidFill>
              <a:schemeClr val="accent1"/>
            </a:solidFill>
            <a:ln>
              <a:noFill/>
            </a:ln>
            <a:effectLst/>
          </c:spPr>
          <c:invertIfNegative val="0"/>
          <c:cat>
            <c:strRef>
              <c:f>slicer!$A$4:$A$8</c:f>
              <c:strCache>
                <c:ptCount val="4"/>
                <c:pt idx="0">
                  <c:v>Both</c:v>
                </c:pt>
                <c:pt idx="1">
                  <c:v>Instagram</c:v>
                </c:pt>
                <c:pt idx="2">
                  <c:v>TikTok</c:v>
                </c:pt>
                <c:pt idx="3">
                  <c:v>(blank)</c:v>
                </c:pt>
              </c:strCache>
            </c:strRef>
          </c:cat>
          <c:val>
            <c:numRef>
              <c:f>slicer!$B$4:$B$8</c:f>
              <c:numCache>
                <c:formatCode>General</c:formatCode>
                <c:ptCount val="4"/>
                <c:pt idx="0">
                  <c:v>6.60952380952381</c:v>
                </c:pt>
                <c:pt idx="1">
                  <c:v>6.4859154929577461</c:v>
                </c:pt>
                <c:pt idx="2">
                  <c:v>6.4954545454545443</c:v>
                </c:pt>
              </c:numCache>
            </c:numRef>
          </c:val>
          <c:extLst>
            <c:ext xmlns:c16="http://schemas.microsoft.com/office/drawing/2014/chart" uri="{C3380CC4-5D6E-409C-BE32-E72D297353CC}">
              <c16:uniqueId val="{00000000-BE6A-4C9E-97D9-D21D47979B8B}"/>
            </c:ext>
          </c:extLst>
        </c:ser>
        <c:ser>
          <c:idx val="1"/>
          <c:order val="1"/>
          <c:tx>
            <c:strRef>
              <c:f>slicer!$C$3</c:f>
              <c:strCache>
                <c:ptCount val="1"/>
                <c:pt idx="0">
                  <c:v>Average of Daily_Social_Media_Hours</c:v>
                </c:pt>
              </c:strCache>
            </c:strRef>
          </c:tx>
          <c:spPr>
            <a:solidFill>
              <a:schemeClr val="accent2"/>
            </a:solidFill>
            <a:ln>
              <a:noFill/>
            </a:ln>
            <a:effectLst/>
          </c:spPr>
          <c:invertIfNegative val="0"/>
          <c:cat>
            <c:strRef>
              <c:f>slicer!$A$4:$A$8</c:f>
              <c:strCache>
                <c:ptCount val="4"/>
                <c:pt idx="0">
                  <c:v>Both</c:v>
                </c:pt>
                <c:pt idx="1">
                  <c:v>Instagram</c:v>
                </c:pt>
                <c:pt idx="2">
                  <c:v>TikTok</c:v>
                </c:pt>
                <c:pt idx="3">
                  <c:v>(blank)</c:v>
                </c:pt>
              </c:strCache>
            </c:strRef>
          </c:cat>
          <c:val>
            <c:numRef>
              <c:f>slicer!$C$4:$C$8</c:f>
              <c:numCache>
                <c:formatCode>General</c:formatCode>
                <c:ptCount val="4"/>
                <c:pt idx="0">
                  <c:v>4.5349206349206348</c:v>
                </c:pt>
                <c:pt idx="1">
                  <c:v>4.4042253521126771</c:v>
                </c:pt>
                <c:pt idx="2">
                  <c:v>4.1045454545454545</c:v>
                </c:pt>
              </c:numCache>
            </c:numRef>
          </c:val>
          <c:extLst>
            <c:ext xmlns:c16="http://schemas.microsoft.com/office/drawing/2014/chart" uri="{C3380CC4-5D6E-409C-BE32-E72D297353CC}">
              <c16:uniqueId val="{00000001-BE6A-4C9E-97D9-D21D47979B8B}"/>
            </c:ext>
          </c:extLst>
        </c:ser>
        <c:dLbls>
          <c:showLegendKey val="0"/>
          <c:showVal val="0"/>
          <c:showCatName val="0"/>
          <c:showSerName val="0"/>
          <c:showPercent val="0"/>
          <c:showBubbleSize val="0"/>
        </c:dLbls>
        <c:gapWidth val="219"/>
        <c:overlap val="-27"/>
        <c:axId val="1780416591"/>
        <c:axId val="1780406991"/>
      </c:barChart>
      <c:catAx>
        <c:axId val="178041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06991"/>
        <c:crosses val="autoZero"/>
        <c:auto val="1"/>
        <c:lblAlgn val="ctr"/>
        <c:lblOffset val="100"/>
        <c:noMultiLvlLbl val="0"/>
      </c:catAx>
      <c:valAx>
        <c:axId val="178040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1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Harsh_ExcelDashboard-2.xlsx]slicer!PivotTable4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slicer!$B$35</c:f>
              <c:strCache>
                <c:ptCount val="1"/>
                <c:pt idx="0">
                  <c:v>Average of Daily_Social_Media_Hours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slicer!$A$36:$A$39</c:f>
              <c:strCache>
                <c:ptCount val="3"/>
                <c:pt idx="0">
                  <c:v>Both</c:v>
                </c:pt>
                <c:pt idx="1">
                  <c:v>Instagram</c:v>
                </c:pt>
                <c:pt idx="2">
                  <c:v>TikTok</c:v>
                </c:pt>
              </c:strCache>
            </c:strRef>
          </c:cat>
          <c:val>
            <c:numRef>
              <c:f>slicer!$B$36:$B$39</c:f>
              <c:numCache>
                <c:formatCode>General</c:formatCode>
                <c:ptCount val="3"/>
                <c:pt idx="0">
                  <c:v>4.84</c:v>
                </c:pt>
                <c:pt idx="1">
                  <c:v>4.3624999999999989</c:v>
                </c:pt>
                <c:pt idx="2">
                  <c:v>4.6260869565217391</c:v>
                </c:pt>
              </c:numCache>
            </c:numRef>
          </c:val>
          <c:smooth val="0"/>
          <c:extLst>
            <c:ext xmlns:c16="http://schemas.microsoft.com/office/drawing/2014/chart" uri="{C3380CC4-5D6E-409C-BE32-E72D297353CC}">
              <c16:uniqueId val="{00000000-730E-49D0-8A3F-316003AEF2C0}"/>
            </c:ext>
          </c:extLst>
        </c:ser>
        <c:ser>
          <c:idx val="1"/>
          <c:order val="1"/>
          <c:tx>
            <c:strRef>
              <c:f>slicer!$C$35</c:f>
              <c:strCache>
                <c:ptCount val="1"/>
                <c:pt idx="0">
                  <c:v>Average of Academic_Performance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slicer!$A$36:$A$39</c:f>
              <c:strCache>
                <c:ptCount val="3"/>
                <c:pt idx="0">
                  <c:v>Both</c:v>
                </c:pt>
                <c:pt idx="1">
                  <c:v>Instagram</c:v>
                </c:pt>
                <c:pt idx="2">
                  <c:v>TikTok</c:v>
                </c:pt>
              </c:strCache>
            </c:strRef>
          </c:cat>
          <c:val>
            <c:numRef>
              <c:f>slicer!$C$36:$C$39</c:f>
              <c:numCache>
                <c:formatCode>General</c:formatCode>
                <c:ptCount val="3"/>
                <c:pt idx="0">
                  <c:v>2.9987999999999992</c:v>
                </c:pt>
                <c:pt idx="1">
                  <c:v>3.1518749999999991</c:v>
                </c:pt>
                <c:pt idx="2">
                  <c:v>3.1160869565217393</c:v>
                </c:pt>
              </c:numCache>
            </c:numRef>
          </c:val>
          <c:smooth val="0"/>
          <c:extLst>
            <c:ext xmlns:c16="http://schemas.microsoft.com/office/drawing/2014/chart" uri="{C3380CC4-5D6E-409C-BE32-E72D297353CC}">
              <c16:uniqueId val="{00000001-730E-49D0-8A3F-316003AEF2C0}"/>
            </c:ext>
          </c:extLst>
        </c:ser>
        <c:dLbls>
          <c:showLegendKey val="0"/>
          <c:showVal val="0"/>
          <c:showCatName val="0"/>
          <c:showSerName val="0"/>
          <c:showPercent val="0"/>
          <c:showBubbleSize val="0"/>
        </c:dLbls>
        <c:marker val="1"/>
        <c:smooth val="0"/>
        <c:axId val="1780399791"/>
        <c:axId val="1780425231"/>
      </c:lineChart>
      <c:catAx>
        <c:axId val="178039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25231"/>
        <c:crosses val="autoZero"/>
        <c:auto val="1"/>
        <c:lblAlgn val="ctr"/>
        <c:lblOffset val="100"/>
        <c:noMultiLvlLbl val="0"/>
      </c:catAx>
      <c:valAx>
        <c:axId val="178042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9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37751</xdr:rowOff>
    </xdr:from>
    <xdr:to>
      <xdr:col>5</xdr:col>
      <xdr:colOff>190500</xdr:colOff>
      <xdr:row>23</xdr:row>
      <xdr:rowOff>47276</xdr:rowOff>
    </xdr:to>
    <xdr:graphicFrame macro="">
      <xdr:nvGraphicFramePr>
        <xdr:cNvPr id="2" name="Chart 2">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85725</xdr:colOff>
      <xdr:row>7</xdr:row>
      <xdr:rowOff>57150</xdr:rowOff>
    </xdr:from>
    <xdr:to>
      <xdr:col>11</xdr:col>
      <xdr:colOff>276225</xdr:colOff>
      <xdr:row>22</xdr:row>
      <xdr:rowOff>66675</xdr:rowOff>
    </xdr:to>
    <xdr:graphicFrame macro="">
      <xdr:nvGraphicFramePr>
        <xdr:cNvPr id="3" name="Chart 3">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29</xdr:row>
      <xdr:rowOff>50037</xdr:rowOff>
    </xdr:from>
    <xdr:to>
      <xdr:col>4</xdr:col>
      <xdr:colOff>581025</xdr:colOff>
      <xdr:row>44</xdr:row>
      <xdr:rowOff>59561</xdr:rowOff>
    </xdr:to>
    <xdr:graphicFrame macro="">
      <xdr:nvGraphicFramePr>
        <xdr:cNvPr id="4" name="Chart 4">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57150</xdr:colOff>
      <xdr:row>29</xdr:row>
      <xdr:rowOff>171450</xdr:rowOff>
    </xdr:from>
    <xdr:to>
      <xdr:col>10</xdr:col>
      <xdr:colOff>47625</xdr:colOff>
      <xdr:row>44</xdr:row>
      <xdr:rowOff>180975</xdr:rowOff>
    </xdr:to>
    <xdr:graphicFrame macro="">
      <xdr:nvGraphicFramePr>
        <xdr:cNvPr id="5" name="Chart 5">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63724</xdr:colOff>
      <xdr:row>9</xdr:row>
      <xdr:rowOff>85725</xdr:rowOff>
    </xdr:from>
    <xdr:to>
      <xdr:col>14</xdr:col>
      <xdr:colOff>139923</xdr:colOff>
      <xdr:row>24</xdr:row>
      <xdr:rowOff>95250</xdr:rowOff>
    </xdr:to>
    <xdr:graphicFrame macro="">
      <xdr:nvGraphicFramePr>
        <xdr:cNvPr id="6" name="Chart 2">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392268</xdr:colOff>
      <xdr:row>9</xdr:row>
      <xdr:rowOff>103702</xdr:rowOff>
    </xdr:from>
    <xdr:to>
      <xdr:col>27</xdr:col>
      <xdr:colOff>563718</xdr:colOff>
      <xdr:row>24</xdr:row>
      <xdr:rowOff>113227</xdr:rowOff>
    </xdr:to>
    <xdr:graphicFrame macro="">
      <xdr:nvGraphicFramePr>
        <xdr:cNvPr id="7" name="Chart 3">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14489</xdr:colOff>
      <xdr:row>27</xdr:row>
      <xdr:rowOff>1</xdr:rowOff>
    </xdr:from>
    <xdr:to>
      <xdr:col>14</xdr:col>
      <xdr:colOff>253416</xdr:colOff>
      <xdr:row>44</xdr:row>
      <xdr:rowOff>21330</xdr:rowOff>
    </xdr:to>
    <xdr:graphicFrame macro="">
      <xdr:nvGraphicFramePr>
        <xdr:cNvPr id="8" name="Chart 4">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53340</xdr:colOff>
      <xdr:row>2</xdr:row>
      <xdr:rowOff>30481</xdr:rowOff>
    </xdr:from>
    <xdr:to>
      <xdr:col>3</xdr:col>
      <xdr:colOff>1882140</xdr:colOff>
      <xdr:row>9</xdr:row>
      <xdr:rowOff>137161</xdr:rowOff>
    </xdr:to>
    <mc:AlternateContent xmlns:mc="http://schemas.openxmlformats.org/markup-compatibility/2006" xmlns:a14="http://schemas.microsoft.com/office/drawing/2010/main">
      <mc:Choice Requires="a14">
        <xdr:graphicFrame macro="">
          <xdr:nvGraphicFramePr>
            <xdr:cNvPr id="2" name="Platform_Usage">
              <a:extLst>
                <a:ext uri="{FF2B5EF4-FFF2-40B4-BE49-F238E27FC236}">
                  <a16:creationId xmlns:a16="http://schemas.microsoft.com/office/drawing/2014/main" id="{2927EED8-0208-94A1-1965-E0C8990409E5}"/>
                </a:ext>
              </a:extLst>
            </xdr:cNvPr>
            <xdr:cNvGraphicFramePr/>
          </xdr:nvGraphicFramePr>
          <xdr:xfrm>
            <a:off x="0" y="0"/>
            <a:ext cx="0" cy="0"/>
          </xdr:xfrm>
          <a:graphic>
            <a:graphicData uri="http://schemas.microsoft.com/office/drawing/2010/slicer">
              <sle:slicer xmlns:sle="http://schemas.microsoft.com/office/drawing/2010/slicer" name="Platform_Usage"/>
            </a:graphicData>
          </a:graphic>
        </xdr:graphicFrame>
      </mc:Choice>
      <mc:Fallback xmlns="">
        <xdr:sp macro="" textlink="">
          <xdr:nvSpPr>
            <xdr:cNvPr id="0" name=""/>
            <xdr:cNvSpPr>
              <a:spLocks noTextEdit="1"/>
            </xdr:cNvSpPr>
          </xdr:nvSpPr>
          <xdr:spPr>
            <a:xfrm>
              <a:off x="5337373" y="405235"/>
              <a:ext cx="1828800" cy="1418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xdr:colOff>
      <xdr:row>12</xdr:row>
      <xdr:rowOff>22861</xdr:rowOff>
    </xdr:from>
    <xdr:to>
      <xdr:col>3</xdr:col>
      <xdr:colOff>1874520</xdr:colOff>
      <xdr:row>18</xdr:row>
      <xdr:rowOff>137161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AB6FDD9-B685-2C93-525E-6D50091BFB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29753" y="2271386"/>
              <a:ext cx="1828800" cy="1238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xdr:colOff>
      <xdr:row>18</xdr:row>
      <xdr:rowOff>144780</xdr:rowOff>
    </xdr:from>
    <xdr:to>
      <xdr:col>2</xdr:col>
      <xdr:colOff>1859280</xdr:colOff>
      <xdr:row>32</xdr:row>
      <xdr:rowOff>51435</xdr:rowOff>
    </xdr:to>
    <mc:AlternateContent xmlns:mc="http://schemas.openxmlformats.org/markup-compatibility/2006" xmlns:a14="http://schemas.microsoft.com/office/drawing/2010/main">
      <mc:Choice Requires="a14">
        <xdr:graphicFrame macro="">
          <xdr:nvGraphicFramePr>
            <xdr:cNvPr id="4" name="Sleep_Hours">
              <a:extLst>
                <a:ext uri="{FF2B5EF4-FFF2-40B4-BE49-F238E27FC236}">
                  <a16:creationId xmlns:a16="http://schemas.microsoft.com/office/drawing/2014/main" id="{8935482C-D90D-5589-BF9E-84AF89207AC2}"/>
                </a:ext>
              </a:extLst>
            </xdr:cNvPr>
            <xdr:cNvGraphicFramePr/>
          </xdr:nvGraphicFramePr>
          <xdr:xfrm>
            <a:off x="0" y="0"/>
            <a:ext cx="0" cy="0"/>
          </xdr:xfrm>
          <a:graphic>
            <a:graphicData uri="http://schemas.microsoft.com/office/drawing/2010/slicer">
              <sle:slicer xmlns:sle="http://schemas.microsoft.com/office/drawing/2010/slicer" name="Sleep_Hours"/>
            </a:graphicData>
          </a:graphic>
        </xdr:graphicFrame>
      </mc:Choice>
      <mc:Fallback xmlns="">
        <xdr:sp macro="" textlink="">
          <xdr:nvSpPr>
            <xdr:cNvPr id="0" name=""/>
            <xdr:cNvSpPr>
              <a:spLocks noTextEdit="1"/>
            </xdr:cNvSpPr>
          </xdr:nvSpPr>
          <xdr:spPr>
            <a:xfrm>
              <a:off x="3240873" y="3517567"/>
              <a:ext cx="1828800" cy="252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33</xdr:row>
      <xdr:rowOff>15240</xdr:rowOff>
    </xdr:from>
    <xdr:to>
      <xdr:col>3</xdr:col>
      <xdr:colOff>1828800</xdr:colOff>
      <xdr:row>40</xdr:row>
      <xdr:rowOff>152399</xdr:rowOff>
    </xdr:to>
    <mc:AlternateContent xmlns:mc="http://schemas.openxmlformats.org/markup-compatibility/2006" xmlns:a14="http://schemas.microsoft.com/office/drawing/2010/main">
      <mc:Choice Requires="a14">
        <xdr:graphicFrame macro="">
          <xdr:nvGraphicFramePr>
            <xdr:cNvPr id="5" name="Social_Interaction_Level">
              <a:extLst>
                <a:ext uri="{FF2B5EF4-FFF2-40B4-BE49-F238E27FC236}">
                  <a16:creationId xmlns:a16="http://schemas.microsoft.com/office/drawing/2014/main" id="{C3FFE766-0BF3-C691-CBAC-AA6D509211BA}"/>
                </a:ext>
              </a:extLst>
            </xdr:cNvPr>
            <xdr:cNvGraphicFramePr/>
          </xdr:nvGraphicFramePr>
          <xdr:xfrm>
            <a:off x="0" y="0"/>
            <a:ext cx="0" cy="0"/>
          </xdr:xfrm>
          <a:graphic>
            <a:graphicData uri="http://schemas.microsoft.com/office/drawing/2010/slicer">
              <sle:slicer xmlns:sle="http://schemas.microsoft.com/office/drawing/2010/slicer" name="Social_Interaction_Level"/>
            </a:graphicData>
          </a:graphic>
        </xdr:graphicFrame>
      </mc:Choice>
      <mc:Fallback xmlns="">
        <xdr:sp macro="" textlink="">
          <xdr:nvSpPr>
            <xdr:cNvPr id="0" name=""/>
            <xdr:cNvSpPr>
              <a:spLocks noTextEdit="1"/>
            </xdr:cNvSpPr>
          </xdr:nvSpPr>
          <xdr:spPr>
            <a:xfrm>
              <a:off x="5284033" y="6198683"/>
              <a:ext cx="1828800" cy="1448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278781</xdr:colOff>
      <xdr:row>0</xdr:row>
      <xdr:rowOff>27878</xdr:rowOff>
    </xdr:from>
    <xdr:to>
      <xdr:col>13</xdr:col>
      <xdr:colOff>469281</xdr:colOff>
      <xdr:row>12</xdr:row>
      <xdr:rowOff>153608</xdr:rowOff>
    </xdr:to>
    <xdr:graphicFrame macro="">
      <xdr:nvGraphicFramePr>
        <xdr:cNvPr id="6" name="Chart 5">
          <a:extLst>
            <a:ext uri="{FF2B5EF4-FFF2-40B4-BE49-F238E27FC236}">
              <a16:creationId xmlns:a16="http://schemas.microsoft.com/office/drawing/2014/main" id="{5D8BD852-F7F5-F10B-B997-9BC46F111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582206</xdr:colOff>
      <xdr:row>13</xdr:row>
      <xdr:rowOff>5131</xdr:rowOff>
    </xdr:from>
    <xdr:to>
      <xdr:col>14</xdr:col>
      <xdr:colOff>248073</xdr:colOff>
      <xdr:row>27</xdr:row>
      <xdr:rowOff>142742</xdr:rowOff>
    </xdr:to>
    <xdr:graphicFrame macro="">
      <xdr:nvGraphicFramePr>
        <xdr:cNvPr id="7" name="Chart 6">
          <a:extLst>
            <a:ext uri="{FF2B5EF4-FFF2-40B4-BE49-F238E27FC236}">
              <a16:creationId xmlns:a16="http://schemas.microsoft.com/office/drawing/2014/main" id="{AE1C7138-1019-A583-1CF2-70980324A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15164</xdr:colOff>
      <xdr:row>40</xdr:row>
      <xdr:rowOff>174355</xdr:rowOff>
    </xdr:from>
    <xdr:to>
      <xdr:col>2</xdr:col>
      <xdr:colOff>1843964</xdr:colOff>
      <xdr:row>54</xdr:row>
      <xdr:rowOff>106359</xdr:rowOff>
    </xdr:to>
    <mc:AlternateContent xmlns:mc="http://schemas.openxmlformats.org/markup-compatibility/2006" xmlns:a14="http://schemas.microsoft.com/office/drawing/2010/main">
      <mc:Choice Requires="a14">
        <xdr:graphicFrame macro="">
          <xdr:nvGraphicFramePr>
            <xdr:cNvPr id="10" name="Daily_Social_Media_Hours">
              <a:extLst>
                <a:ext uri="{FF2B5EF4-FFF2-40B4-BE49-F238E27FC236}">
                  <a16:creationId xmlns:a16="http://schemas.microsoft.com/office/drawing/2014/main" id="{E36D40E2-935A-3909-0139-2667533A2151}"/>
                </a:ext>
              </a:extLst>
            </xdr:cNvPr>
            <xdr:cNvGraphicFramePr/>
          </xdr:nvGraphicFramePr>
          <xdr:xfrm>
            <a:off x="0" y="0"/>
            <a:ext cx="0" cy="0"/>
          </xdr:xfrm>
          <a:graphic>
            <a:graphicData uri="http://schemas.microsoft.com/office/drawing/2010/slicer">
              <sle:slicer xmlns:sle="http://schemas.microsoft.com/office/drawing/2010/slicer" name="Daily_Social_Media_Hours"/>
            </a:graphicData>
          </a:graphic>
        </xdr:graphicFrame>
      </mc:Choice>
      <mc:Fallback xmlns="">
        <xdr:sp macro="" textlink="">
          <xdr:nvSpPr>
            <xdr:cNvPr id="0" name=""/>
            <xdr:cNvSpPr>
              <a:spLocks noTextEdit="1"/>
            </xdr:cNvSpPr>
          </xdr:nvSpPr>
          <xdr:spPr>
            <a:xfrm>
              <a:off x="3225557" y="7669437"/>
              <a:ext cx="1828800" cy="2555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5.924319675927" createdVersion="8" refreshedVersion="8" minRefreshableVersion="3" recordCount="201" xr:uid="{230F28D6-022A-468D-A1CE-D2882176BB21}">
  <cacheSource type="worksheet">
    <worksheetSource ref="A1:AB1048576" sheet="Harsh_ExcelDashboard"/>
  </cacheSource>
  <cacheFields count="28">
    <cacheField name="Age" numFmtId="0">
      <sharedItems containsString="0" containsBlank="1" containsNumber="1" containsInteger="1" minValue="13" maxValue="19"/>
    </cacheField>
    <cacheField name="Gender" numFmtId="0">
      <sharedItems containsBlank="1" count="3">
        <s v="male"/>
        <s v="female"/>
        <m/>
      </sharedItems>
    </cacheField>
    <cacheField name="Daily_Social_Media_Hours" numFmtId="0">
      <sharedItems containsString="0" containsBlank="1" containsNumber="1" minValue="1.1000000000000001" maxValue="8" count="67">
        <n v="7.9"/>
        <n v="1.9"/>
        <n v="1.3"/>
        <n v="7.4"/>
        <n v="4.7"/>
        <n v="2.5"/>
        <n v="4"/>
        <n v="3.3"/>
        <n v="7.2"/>
        <n v="4.9000000000000004"/>
        <n v="6.2"/>
        <n v="6.8"/>
        <n v="5.7"/>
        <n v="3.6"/>
        <n v="1.5"/>
        <n v="3.1"/>
        <n v="6.7"/>
        <n v="1.2"/>
        <n v="3.4"/>
        <n v="4.0999999999999996"/>
        <n v="5.3"/>
        <n v="2.2999999999999998"/>
        <n v="2.4"/>
        <n v="2"/>
        <n v="6.6"/>
        <n v="1.6"/>
        <n v="2.7"/>
        <n v="5"/>
        <n v="4.5999999999999996"/>
        <n v="4.8"/>
        <n v="6.3"/>
        <n v="6.4"/>
        <n v="7.3"/>
        <n v="5.2"/>
        <n v="4.5"/>
        <n v="3.5"/>
        <n v="2.9"/>
        <n v="5.8"/>
        <n v="7.1"/>
        <n v="4.3"/>
        <n v="3.9"/>
        <n v="7.5"/>
        <n v="6.9"/>
        <n v="1.1000000000000001"/>
        <n v="2.6"/>
        <n v="5.4"/>
        <n v="5.6"/>
        <n v="1.8"/>
        <n v="8"/>
        <n v="5.0999999999999996"/>
        <n v="3.2"/>
        <n v="7.7"/>
        <n v="6.5"/>
        <n v="7.8"/>
        <n v="6"/>
        <n v="3.8"/>
        <n v="2.1"/>
        <n v="4.4000000000000004"/>
        <n v="3"/>
        <n v="7"/>
        <n v="7.6"/>
        <n v="6.1"/>
        <n v="5.9"/>
        <n v="1.4"/>
        <n v="4.2"/>
        <n v="1.7"/>
        <m/>
      </sharedItems>
    </cacheField>
    <cacheField name="Platform_Usage" numFmtId="0">
      <sharedItems containsBlank="1" count="4">
        <s v="Instagram"/>
        <s v="TikTok"/>
        <s v="Both"/>
        <m/>
      </sharedItems>
    </cacheField>
    <cacheField name="Sleep_Hours" numFmtId="0">
      <sharedItems containsString="0" containsBlank="1" containsNumber="1" minValue="4" maxValue="9" count="51">
        <n v="7.4"/>
        <n v="8"/>
        <n v="7.6"/>
        <n v="6.9"/>
        <n v="4.9000000000000004"/>
        <n v="4.4000000000000004"/>
        <n v="6.4"/>
        <n v="4.2"/>
        <n v="5"/>
        <n v="5.8"/>
        <n v="4.7"/>
        <n v="7.2"/>
        <n v="5.7"/>
        <n v="5.9"/>
        <n v="5.3"/>
        <n v="6.1"/>
        <n v="6.8"/>
        <n v="4.5999999999999996"/>
        <n v="6.7"/>
        <n v="8.6999999999999993"/>
        <n v="7.1"/>
        <n v="5.6"/>
        <n v="7.8"/>
        <n v="7.3"/>
        <n v="5.5"/>
        <n v="4"/>
        <n v="8.6"/>
        <n v="7.7"/>
        <n v="8.8000000000000007"/>
        <n v="4.0999999999999996"/>
        <n v="4.8"/>
        <n v="5.0999999999999996"/>
        <n v="6.3"/>
        <n v="8.5"/>
        <n v="4.5"/>
        <n v="6.5"/>
        <n v="8.1999999999999993"/>
        <n v="7"/>
        <n v="8.4"/>
        <n v="4.3"/>
        <n v="7.5"/>
        <n v="6"/>
        <n v="5.2"/>
        <n v="9"/>
        <n v="5.4"/>
        <n v="6.6"/>
        <n v="8.1"/>
        <n v="7.9"/>
        <n v="8.9"/>
        <n v="8.3000000000000007"/>
        <m/>
      </sharedItems>
    </cacheField>
    <cacheField name="Screen_Time_Before_Sleep" numFmtId="0">
      <sharedItems containsString="0" containsBlank="1" containsNumber="1" minValue="0.5" maxValue="3"/>
    </cacheField>
    <cacheField name="Academic_Performance" numFmtId="0">
      <sharedItems containsString="0" containsBlank="1" containsNumber="1" minValue="2.0099999999999998" maxValue="4"/>
    </cacheField>
    <cacheField name="Physical_Activity" numFmtId="0">
      <sharedItems containsString="0" containsBlank="1" containsNumber="1" minValue="0" maxValue="2"/>
    </cacheField>
    <cacheField name="Social_Interaction_Level" numFmtId="0">
      <sharedItems containsBlank="1" count="4">
        <s v="low"/>
        <s v="high"/>
        <s v="medium"/>
        <m/>
      </sharedItems>
    </cacheField>
    <cacheField name="Stress_Level" numFmtId="0">
      <sharedItems containsString="0" containsBlank="1" containsNumber="1" containsInteger="1" minValue="1" maxValue="10"/>
    </cacheField>
    <cacheField name="Anxiety_Level" numFmtId="0">
      <sharedItems containsString="0" containsBlank="1" containsNumber="1" containsInteger="1" minValue="1" maxValue="10"/>
    </cacheField>
    <cacheField name="Addiction_Level" numFmtId="0">
      <sharedItems containsString="0" containsBlank="1" containsNumber="1" containsInteger="1" minValue="1" maxValue="10"/>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s>
  <extLst>
    <ext xmlns:x14="http://schemas.microsoft.com/office/spreadsheetml/2009/9/main" uri="{725AE2AE-9491-48be-B2B4-4EB974FC3084}">
      <x14:pivotCacheDefinition pivotCacheId="532024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n v="14"/>
    <x v="0"/>
    <x v="0"/>
    <x v="0"/>
    <x v="0"/>
    <n v="2.9"/>
    <n v="3.01"/>
    <n v="1.5"/>
    <x v="0"/>
    <n v="2"/>
    <n v="2"/>
    <n v="1"/>
    <m/>
    <m/>
    <m/>
    <m/>
    <m/>
    <m/>
    <m/>
    <m/>
    <m/>
    <m/>
    <m/>
    <m/>
    <m/>
    <m/>
    <m/>
    <m/>
  </r>
  <r>
    <n v="19"/>
    <x v="1"/>
    <x v="1"/>
    <x v="1"/>
    <x v="1"/>
    <n v="2.9"/>
    <n v="3.22"/>
    <n v="0.8"/>
    <x v="1"/>
    <n v="8"/>
    <n v="1"/>
    <n v="10"/>
    <m/>
    <m/>
    <m/>
    <m/>
    <m/>
    <m/>
    <m/>
    <m/>
    <m/>
    <m/>
    <m/>
    <m/>
    <m/>
    <m/>
    <m/>
    <m/>
  </r>
  <r>
    <n v="17"/>
    <x v="1"/>
    <x v="2"/>
    <x v="0"/>
    <x v="2"/>
    <n v="0.5"/>
    <n v="3.92"/>
    <n v="0"/>
    <x v="1"/>
    <n v="2"/>
    <n v="4"/>
    <n v="2"/>
    <m/>
    <m/>
    <m/>
    <m/>
    <m/>
    <m/>
    <m/>
    <m/>
    <m/>
    <m/>
    <m/>
    <m/>
    <m/>
    <m/>
    <m/>
    <m/>
  </r>
  <r>
    <n v="15"/>
    <x v="0"/>
    <x v="3"/>
    <x v="1"/>
    <x v="3"/>
    <n v="1.6"/>
    <n v="3.48"/>
    <n v="0.8"/>
    <x v="2"/>
    <n v="1"/>
    <n v="7"/>
    <n v="9"/>
    <m/>
    <m/>
    <m/>
    <m/>
    <m/>
    <m/>
    <m/>
    <m/>
    <m/>
    <m/>
    <m/>
    <m/>
    <m/>
    <m/>
    <m/>
    <m/>
  </r>
  <r>
    <n v="15"/>
    <x v="1"/>
    <x v="4"/>
    <x v="2"/>
    <x v="4"/>
    <n v="3"/>
    <n v="2.37"/>
    <n v="1.4"/>
    <x v="2"/>
    <n v="3"/>
    <n v="5"/>
    <n v="2"/>
    <m/>
    <m/>
    <m/>
    <m/>
    <m/>
    <m/>
    <m/>
    <m/>
    <m/>
    <m/>
    <m/>
    <m/>
    <m/>
    <m/>
    <m/>
    <m/>
  </r>
  <r>
    <n v="19"/>
    <x v="1"/>
    <x v="3"/>
    <x v="2"/>
    <x v="5"/>
    <n v="2.4"/>
    <n v="2.63"/>
    <n v="0.6"/>
    <x v="1"/>
    <n v="3"/>
    <n v="5"/>
    <n v="7"/>
    <m/>
    <m/>
    <m/>
    <m/>
    <m/>
    <m/>
    <m/>
    <m/>
    <m/>
    <m/>
    <m/>
    <m/>
    <m/>
    <m/>
    <m/>
    <m/>
  </r>
  <r>
    <n v="18"/>
    <x v="1"/>
    <x v="5"/>
    <x v="0"/>
    <x v="6"/>
    <n v="2.4"/>
    <n v="2.63"/>
    <n v="0.7"/>
    <x v="0"/>
    <n v="2"/>
    <n v="2"/>
    <n v="5"/>
    <m/>
    <m/>
    <m/>
    <m/>
    <m/>
    <m/>
    <m/>
    <m/>
    <m/>
    <m/>
    <m/>
    <m/>
    <m/>
    <m/>
    <m/>
    <m/>
  </r>
  <r>
    <n v="16"/>
    <x v="0"/>
    <x v="6"/>
    <x v="2"/>
    <x v="7"/>
    <n v="0.5"/>
    <n v="2.4"/>
    <n v="1.3"/>
    <x v="0"/>
    <n v="6"/>
    <n v="10"/>
    <n v="5"/>
    <m/>
    <m/>
    <m/>
    <m/>
    <m/>
    <m/>
    <m/>
    <m/>
    <m/>
    <m/>
    <m/>
    <m/>
    <m/>
    <m/>
    <m/>
    <m/>
  </r>
  <r>
    <n v="19"/>
    <x v="1"/>
    <x v="7"/>
    <x v="1"/>
    <x v="8"/>
    <n v="2.1"/>
    <n v="2.04"/>
    <n v="0.9"/>
    <x v="1"/>
    <n v="1"/>
    <n v="10"/>
    <n v="9"/>
    <m/>
    <m/>
    <m/>
    <m/>
    <m/>
    <m/>
    <m/>
    <m/>
    <m/>
    <m/>
    <m/>
    <m/>
    <m/>
    <m/>
    <m/>
    <m/>
  </r>
  <r>
    <n v="15"/>
    <x v="0"/>
    <x v="1"/>
    <x v="1"/>
    <x v="4"/>
    <n v="1.5"/>
    <n v="3.77"/>
    <n v="1.1000000000000001"/>
    <x v="1"/>
    <n v="1"/>
    <n v="1"/>
    <n v="4"/>
    <m/>
    <m/>
    <m/>
    <m/>
    <m/>
    <m/>
    <m/>
    <m/>
    <m/>
    <m/>
    <m/>
    <m/>
    <m/>
    <m/>
    <m/>
    <m/>
  </r>
  <r>
    <n v="16"/>
    <x v="0"/>
    <x v="8"/>
    <x v="2"/>
    <x v="9"/>
    <n v="2.9"/>
    <n v="3.16"/>
    <n v="1.2"/>
    <x v="2"/>
    <n v="5"/>
    <n v="8"/>
    <n v="9"/>
    <m/>
    <m/>
    <m/>
    <m/>
    <m/>
    <m/>
    <m/>
    <m/>
    <m/>
    <m/>
    <m/>
    <m/>
    <m/>
    <m/>
    <m/>
    <m/>
  </r>
  <r>
    <n v="13"/>
    <x v="0"/>
    <x v="9"/>
    <x v="0"/>
    <x v="10"/>
    <n v="2.5"/>
    <n v="3.92"/>
    <n v="1.2"/>
    <x v="0"/>
    <n v="1"/>
    <n v="10"/>
    <n v="8"/>
    <m/>
    <m/>
    <m/>
    <m/>
    <m/>
    <m/>
    <m/>
    <m/>
    <m/>
    <m/>
    <m/>
    <m/>
    <m/>
    <m/>
    <m/>
    <m/>
  </r>
  <r>
    <n v="16"/>
    <x v="0"/>
    <x v="10"/>
    <x v="2"/>
    <x v="11"/>
    <n v="2.6"/>
    <n v="2.02"/>
    <n v="1.7"/>
    <x v="2"/>
    <n v="5"/>
    <n v="7"/>
    <n v="6"/>
    <m/>
    <m/>
    <m/>
    <m/>
    <m/>
    <m/>
    <m/>
    <m/>
    <m/>
    <m/>
    <m/>
    <m/>
    <m/>
    <m/>
    <m/>
    <m/>
  </r>
  <r>
    <n v="17"/>
    <x v="1"/>
    <x v="11"/>
    <x v="1"/>
    <x v="12"/>
    <n v="1.1000000000000001"/>
    <n v="3.29"/>
    <n v="1.3"/>
    <x v="2"/>
    <n v="1"/>
    <n v="10"/>
    <n v="10"/>
    <m/>
    <m/>
    <m/>
    <m/>
    <m/>
    <m/>
    <m/>
    <m/>
    <m/>
    <m/>
    <m/>
    <m/>
    <m/>
    <m/>
    <m/>
    <m/>
  </r>
  <r>
    <n v="15"/>
    <x v="0"/>
    <x v="12"/>
    <x v="1"/>
    <x v="13"/>
    <n v="0.8"/>
    <n v="3.5"/>
    <n v="0.7"/>
    <x v="0"/>
    <n v="1"/>
    <n v="9"/>
    <n v="1"/>
    <m/>
    <m/>
    <m/>
    <m/>
    <m/>
    <m/>
    <m/>
    <m/>
    <m/>
    <m/>
    <m/>
    <m/>
    <m/>
    <m/>
    <m/>
    <m/>
  </r>
  <r>
    <n v="14"/>
    <x v="1"/>
    <x v="13"/>
    <x v="2"/>
    <x v="14"/>
    <n v="0.6"/>
    <n v="2.99"/>
    <n v="0.3"/>
    <x v="1"/>
    <n v="4"/>
    <n v="10"/>
    <n v="2"/>
    <m/>
    <m/>
    <m/>
    <m/>
    <m/>
    <m/>
    <m/>
    <m/>
    <m/>
    <m/>
    <m/>
    <m/>
    <m/>
    <m/>
    <m/>
    <m/>
  </r>
  <r>
    <n v="13"/>
    <x v="0"/>
    <x v="14"/>
    <x v="2"/>
    <x v="7"/>
    <n v="1.4"/>
    <n v="2.59"/>
    <n v="0.5"/>
    <x v="1"/>
    <n v="4"/>
    <n v="5"/>
    <n v="8"/>
    <m/>
    <m/>
    <m/>
    <m/>
    <m/>
    <m/>
    <m/>
    <m/>
    <m/>
    <m/>
    <m/>
    <m/>
    <m/>
    <m/>
    <m/>
    <m/>
  </r>
  <r>
    <n v="16"/>
    <x v="0"/>
    <x v="15"/>
    <x v="2"/>
    <x v="15"/>
    <n v="0.8"/>
    <n v="2.11"/>
    <n v="1.9"/>
    <x v="1"/>
    <n v="10"/>
    <n v="7"/>
    <n v="10"/>
    <m/>
    <m/>
    <m/>
    <m/>
    <m/>
    <m/>
    <m/>
    <m/>
    <m/>
    <m/>
    <m/>
    <m/>
    <m/>
    <m/>
    <m/>
    <m/>
  </r>
  <r>
    <n v="16"/>
    <x v="1"/>
    <x v="16"/>
    <x v="2"/>
    <x v="16"/>
    <n v="1.9"/>
    <n v="3.08"/>
    <n v="1.4"/>
    <x v="1"/>
    <n v="10"/>
    <n v="9"/>
    <n v="1"/>
    <m/>
    <m/>
    <m/>
    <m/>
    <m/>
    <m/>
    <m/>
    <m/>
    <m/>
    <m/>
    <m/>
    <m/>
    <m/>
    <m/>
    <m/>
    <m/>
  </r>
  <r>
    <n v="14"/>
    <x v="1"/>
    <x v="17"/>
    <x v="0"/>
    <x v="2"/>
    <n v="1"/>
    <n v="3.85"/>
    <n v="0.8"/>
    <x v="1"/>
    <n v="8"/>
    <n v="4"/>
    <n v="6"/>
    <m/>
    <m/>
    <m/>
    <m/>
    <m/>
    <m/>
    <m/>
    <m/>
    <m/>
    <m/>
    <m/>
    <m/>
    <m/>
    <m/>
    <m/>
    <m/>
  </r>
  <r>
    <n v="16"/>
    <x v="0"/>
    <x v="18"/>
    <x v="1"/>
    <x v="17"/>
    <n v="2.1"/>
    <n v="2.2400000000000002"/>
    <n v="0.4"/>
    <x v="1"/>
    <n v="4"/>
    <n v="1"/>
    <n v="3"/>
    <m/>
    <m/>
    <m/>
    <m/>
    <m/>
    <m/>
    <m/>
    <m/>
    <m/>
    <m/>
    <m/>
    <m/>
    <m/>
    <m/>
    <m/>
    <m/>
  </r>
  <r>
    <n v="18"/>
    <x v="0"/>
    <x v="19"/>
    <x v="2"/>
    <x v="0"/>
    <n v="2.4"/>
    <n v="2.38"/>
    <n v="1.5"/>
    <x v="2"/>
    <n v="8"/>
    <n v="4"/>
    <n v="9"/>
    <m/>
    <m/>
    <m/>
    <m/>
    <m/>
    <m/>
    <m/>
    <m/>
    <m/>
    <m/>
    <m/>
    <m/>
    <m/>
    <m/>
    <m/>
    <m/>
  </r>
  <r>
    <n v="18"/>
    <x v="0"/>
    <x v="20"/>
    <x v="0"/>
    <x v="4"/>
    <n v="1.2"/>
    <n v="3.69"/>
    <n v="1.2"/>
    <x v="0"/>
    <n v="5"/>
    <n v="4"/>
    <n v="5"/>
    <m/>
    <m/>
    <m/>
    <m/>
    <m/>
    <m/>
    <m/>
    <m/>
    <m/>
    <m/>
    <m/>
    <m/>
    <m/>
    <m/>
    <m/>
    <m/>
  </r>
  <r>
    <n v="18"/>
    <x v="1"/>
    <x v="21"/>
    <x v="1"/>
    <x v="2"/>
    <n v="0.5"/>
    <n v="2.96"/>
    <n v="1.7"/>
    <x v="2"/>
    <n v="9"/>
    <n v="8"/>
    <n v="7"/>
    <m/>
    <m/>
    <m/>
    <m/>
    <m/>
    <m/>
    <m/>
    <m/>
    <m/>
    <m/>
    <m/>
    <m/>
    <m/>
    <m/>
    <m/>
    <m/>
  </r>
  <r>
    <n v="18"/>
    <x v="1"/>
    <x v="22"/>
    <x v="2"/>
    <x v="18"/>
    <n v="1.9"/>
    <n v="2.5299999999999998"/>
    <n v="0.4"/>
    <x v="1"/>
    <n v="8"/>
    <n v="8"/>
    <n v="2"/>
    <m/>
    <m/>
    <m/>
    <m/>
    <m/>
    <m/>
    <m/>
    <m/>
    <m/>
    <m/>
    <m/>
    <m/>
    <m/>
    <m/>
    <m/>
    <m/>
  </r>
  <r>
    <n v="13"/>
    <x v="1"/>
    <x v="14"/>
    <x v="2"/>
    <x v="11"/>
    <n v="2.5"/>
    <n v="2.15"/>
    <n v="1.3"/>
    <x v="2"/>
    <n v="4"/>
    <n v="6"/>
    <n v="2"/>
    <m/>
    <m/>
    <m/>
    <m/>
    <m/>
    <m/>
    <m/>
    <m/>
    <m/>
    <m/>
    <m/>
    <m/>
    <m/>
    <m/>
    <m/>
    <m/>
  </r>
  <r>
    <n v="14"/>
    <x v="1"/>
    <x v="12"/>
    <x v="2"/>
    <x v="19"/>
    <n v="0.6"/>
    <n v="2.64"/>
    <n v="0.1"/>
    <x v="0"/>
    <n v="8"/>
    <n v="9"/>
    <n v="4"/>
    <m/>
    <m/>
    <m/>
    <m/>
    <m/>
    <m/>
    <m/>
    <m/>
    <m/>
    <m/>
    <m/>
    <m/>
    <m/>
    <m/>
    <m/>
    <m/>
  </r>
  <r>
    <n v="19"/>
    <x v="0"/>
    <x v="23"/>
    <x v="1"/>
    <x v="20"/>
    <n v="0.9"/>
    <n v="3.26"/>
    <n v="1.6"/>
    <x v="1"/>
    <n v="7"/>
    <n v="5"/>
    <n v="9"/>
    <m/>
    <m/>
    <m/>
    <m/>
    <m/>
    <m/>
    <m/>
    <m/>
    <m/>
    <m/>
    <m/>
    <m/>
    <m/>
    <m/>
    <m/>
    <m/>
  </r>
  <r>
    <n v="14"/>
    <x v="0"/>
    <x v="5"/>
    <x v="1"/>
    <x v="21"/>
    <n v="2.9"/>
    <n v="2.2400000000000002"/>
    <n v="0.5"/>
    <x v="0"/>
    <n v="3"/>
    <n v="9"/>
    <n v="5"/>
    <m/>
    <m/>
    <m/>
    <m/>
    <m/>
    <m/>
    <m/>
    <m/>
    <m/>
    <m/>
    <m/>
    <m/>
    <m/>
    <m/>
    <m/>
    <m/>
  </r>
  <r>
    <n v="16"/>
    <x v="1"/>
    <x v="18"/>
    <x v="1"/>
    <x v="22"/>
    <n v="2.8"/>
    <n v="3.83"/>
    <n v="1.8"/>
    <x v="2"/>
    <n v="6"/>
    <n v="6"/>
    <n v="4"/>
    <m/>
    <m/>
    <m/>
    <m/>
    <m/>
    <m/>
    <m/>
    <m/>
    <m/>
    <m/>
    <m/>
    <m/>
    <m/>
    <m/>
    <m/>
    <m/>
  </r>
  <r>
    <n v="13"/>
    <x v="0"/>
    <x v="24"/>
    <x v="1"/>
    <x v="12"/>
    <n v="2.5"/>
    <n v="2.67"/>
    <n v="1.1000000000000001"/>
    <x v="0"/>
    <n v="2"/>
    <n v="1"/>
    <n v="10"/>
    <m/>
    <m/>
    <m/>
    <m/>
    <m/>
    <m/>
    <m/>
    <m/>
    <m/>
    <m/>
    <m/>
    <m/>
    <m/>
    <m/>
    <m/>
    <m/>
  </r>
  <r>
    <n v="13"/>
    <x v="1"/>
    <x v="25"/>
    <x v="0"/>
    <x v="19"/>
    <n v="2.5"/>
    <n v="3.69"/>
    <n v="0.4"/>
    <x v="1"/>
    <n v="8"/>
    <n v="2"/>
    <n v="9"/>
    <m/>
    <m/>
    <m/>
    <m/>
    <m/>
    <m/>
    <m/>
    <m/>
    <m/>
    <m/>
    <m/>
    <m/>
    <m/>
    <m/>
    <m/>
    <m/>
  </r>
  <r>
    <n v="16"/>
    <x v="0"/>
    <x v="26"/>
    <x v="0"/>
    <x v="7"/>
    <n v="2.4"/>
    <n v="3.05"/>
    <n v="0.2"/>
    <x v="1"/>
    <n v="1"/>
    <n v="8"/>
    <n v="4"/>
    <m/>
    <m/>
    <m/>
    <m/>
    <m/>
    <m/>
    <m/>
    <m/>
    <m/>
    <m/>
    <m/>
    <m/>
    <m/>
    <m/>
    <m/>
    <m/>
  </r>
  <r>
    <n v="14"/>
    <x v="0"/>
    <x v="19"/>
    <x v="1"/>
    <x v="1"/>
    <n v="3"/>
    <n v="2.31"/>
    <n v="0.8"/>
    <x v="0"/>
    <n v="8"/>
    <n v="4"/>
    <n v="1"/>
    <m/>
    <m/>
    <m/>
    <m/>
    <m/>
    <m/>
    <m/>
    <m/>
    <m/>
    <m/>
    <m/>
    <m/>
    <m/>
    <m/>
    <m/>
    <m/>
  </r>
  <r>
    <n v="13"/>
    <x v="1"/>
    <x v="24"/>
    <x v="1"/>
    <x v="23"/>
    <n v="1.6"/>
    <n v="3.27"/>
    <n v="0.1"/>
    <x v="2"/>
    <n v="10"/>
    <n v="2"/>
    <n v="1"/>
    <m/>
    <m/>
    <m/>
    <m/>
    <m/>
    <m/>
    <m/>
    <m/>
    <m/>
    <m/>
    <m/>
    <m/>
    <m/>
    <m/>
    <m/>
    <m/>
  </r>
  <r>
    <n v="17"/>
    <x v="1"/>
    <x v="27"/>
    <x v="2"/>
    <x v="4"/>
    <n v="2.1"/>
    <n v="2.0099999999999998"/>
    <n v="1"/>
    <x v="0"/>
    <n v="9"/>
    <n v="4"/>
    <n v="9"/>
    <m/>
    <m/>
    <m/>
    <m/>
    <m/>
    <m/>
    <m/>
    <m/>
    <m/>
    <m/>
    <m/>
    <m/>
    <m/>
    <m/>
    <m/>
    <m/>
  </r>
  <r>
    <n v="19"/>
    <x v="1"/>
    <x v="28"/>
    <x v="0"/>
    <x v="24"/>
    <n v="2.5"/>
    <n v="3.96"/>
    <n v="0.8"/>
    <x v="1"/>
    <n v="3"/>
    <n v="10"/>
    <n v="7"/>
    <m/>
    <m/>
    <m/>
    <m/>
    <m/>
    <m/>
    <m/>
    <m/>
    <m/>
    <m/>
    <m/>
    <m/>
    <m/>
    <m/>
    <m/>
    <m/>
  </r>
  <r>
    <n v="17"/>
    <x v="1"/>
    <x v="29"/>
    <x v="0"/>
    <x v="5"/>
    <n v="1.3"/>
    <n v="2.02"/>
    <n v="0.5"/>
    <x v="0"/>
    <n v="5"/>
    <n v="10"/>
    <n v="6"/>
    <m/>
    <m/>
    <m/>
    <m/>
    <m/>
    <m/>
    <m/>
    <m/>
    <m/>
    <m/>
    <m/>
    <m/>
    <m/>
    <m/>
    <m/>
    <m/>
  </r>
  <r>
    <n v="17"/>
    <x v="1"/>
    <x v="2"/>
    <x v="1"/>
    <x v="1"/>
    <n v="2"/>
    <n v="2.84"/>
    <n v="1.8"/>
    <x v="1"/>
    <n v="1"/>
    <n v="7"/>
    <n v="8"/>
    <m/>
    <m/>
    <m/>
    <m/>
    <m/>
    <m/>
    <m/>
    <m/>
    <m/>
    <m/>
    <m/>
    <m/>
    <m/>
    <m/>
    <m/>
    <m/>
  </r>
  <r>
    <n v="17"/>
    <x v="1"/>
    <x v="30"/>
    <x v="0"/>
    <x v="25"/>
    <n v="1"/>
    <n v="2.4300000000000002"/>
    <n v="1.2"/>
    <x v="1"/>
    <n v="1"/>
    <n v="10"/>
    <n v="9"/>
    <m/>
    <m/>
    <m/>
    <m/>
    <m/>
    <m/>
    <m/>
    <m/>
    <m/>
    <m/>
    <m/>
    <m/>
    <m/>
    <m/>
    <m/>
    <m/>
  </r>
  <r>
    <n v="14"/>
    <x v="0"/>
    <x v="31"/>
    <x v="0"/>
    <x v="12"/>
    <n v="0.9"/>
    <n v="2.06"/>
    <n v="1.8"/>
    <x v="1"/>
    <n v="10"/>
    <n v="4"/>
    <n v="2"/>
    <m/>
    <m/>
    <m/>
    <m/>
    <m/>
    <m/>
    <m/>
    <m/>
    <m/>
    <m/>
    <m/>
    <m/>
    <m/>
    <m/>
    <m/>
    <m/>
  </r>
  <r>
    <n v="19"/>
    <x v="0"/>
    <x v="25"/>
    <x v="0"/>
    <x v="26"/>
    <n v="2.4"/>
    <n v="3.81"/>
    <n v="0.4"/>
    <x v="0"/>
    <n v="10"/>
    <n v="4"/>
    <n v="1"/>
    <m/>
    <m/>
    <m/>
    <m/>
    <m/>
    <m/>
    <m/>
    <m/>
    <m/>
    <m/>
    <m/>
    <m/>
    <m/>
    <m/>
    <m/>
    <m/>
  </r>
  <r>
    <n v="14"/>
    <x v="1"/>
    <x v="32"/>
    <x v="0"/>
    <x v="27"/>
    <n v="1.4"/>
    <n v="3.42"/>
    <n v="0.3"/>
    <x v="2"/>
    <n v="6"/>
    <n v="1"/>
    <n v="8"/>
    <m/>
    <m/>
    <m/>
    <m/>
    <m/>
    <m/>
    <m/>
    <m/>
    <m/>
    <m/>
    <m/>
    <m/>
    <m/>
    <m/>
    <m/>
    <m/>
  </r>
  <r>
    <n v="15"/>
    <x v="0"/>
    <x v="6"/>
    <x v="2"/>
    <x v="28"/>
    <n v="1.3"/>
    <n v="3.59"/>
    <n v="1.9"/>
    <x v="2"/>
    <n v="10"/>
    <n v="6"/>
    <n v="10"/>
    <m/>
    <m/>
    <m/>
    <m/>
    <m/>
    <m/>
    <m/>
    <m/>
    <m/>
    <m/>
    <m/>
    <m/>
    <m/>
    <m/>
    <m/>
    <m/>
  </r>
  <r>
    <n v="14"/>
    <x v="0"/>
    <x v="33"/>
    <x v="2"/>
    <x v="29"/>
    <n v="2.1"/>
    <n v="3.07"/>
    <n v="0.2"/>
    <x v="2"/>
    <n v="9"/>
    <n v="3"/>
    <n v="8"/>
    <m/>
    <m/>
    <m/>
    <m/>
    <m/>
    <m/>
    <m/>
    <m/>
    <m/>
    <m/>
    <m/>
    <m/>
    <m/>
    <m/>
    <m/>
    <m/>
  </r>
  <r>
    <n v="14"/>
    <x v="1"/>
    <x v="34"/>
    <x v="1"/>
    <x v="30"/>
    <n v="0.9"/>
    <n v="2.2200000000000002"/>
    <n v="0.8"/>
    <x v="0"/>
    <n v="1"/>
    <n v="4"/>
    <n v="10"/>
    <m/>
    <m/>
    <m/>
    <m/>
    <m/>
    <m/>
    <m/>
    <m/>
    <m/>
    <m/>
    <m/>
    <m/>
    <m/>
    <m/>
    <m/>
    <m/>
  </r>
  <r>
    <n v="18"/>
    <x v="0"/>
    <x v="11"/>
    <x v="1"/>
    <x v="26"/>
    <n v="1.1000000000000001"/>
    <n v="2.36"/>
    <n v="1.6"/>
    <x v="1"/>
    <n v="1"/>
    <n v="10"/>
    <n v="10"/>
    <m/>
    <m/>
    <m/>
    <m/>
    <m/>
    <m/>
    <m/>
    <m/>
    <m/>
    <m/>
    <m/>
    <m/>
    <m/>
    <m/>
    <m/>
    <m/>
  </r>
  <r>
    <n v="13"/>
    <x v="1"/>
    <x v="35"/>
    <x v="0"/>
    <x v="31"/>
    <n v="1.1000000000000001"/>
    <n v="2.27"/>
    <n v="1.8"/>
    <x v="2"/>
    <n v="2"/>
    <n v="5"/>
    <n v="6"/>
    <m/>
    <m/>
    <m/>
    <m/>
    <m/>
    <m/>
    <m/>
    <m/>
    <m/>
    <m/>
    <m/>
    <m/>
    <m/>
    <m/>
    <m/>
    <m/>
  </r>
  <r>
    <n v="16"/>
    <x v="0"/>
    <x v="21"/>
    <x v="1"/>
    <x v="32"/>
    <n v="3"/>
    <n v="3.24"/>
    <n v="1.9"/>
    <x v="2"/>
    <n v="4"/>
    <n v="4"/>
    <n v="9"/>
    <m/>
    <m/>
    <m/>
    <m/>
    <m/>
    <m/>
    <m/>
    <m/>
    <m/>
    <m/>
    <m/>
    <m/>
    <m/>
    <m/>
    <m/>
    <m/>
  </r>
  <r>
    <n v="14"/>
    <x v="0"/>
    <x v="17"/>
    <x v="0"/>
    <x v="33"/>
    <n v="1.8"/>
    <n v="3.65"/>
    <n v="1.8"/>
    <x v="1"/>
    <n v="5"/>
    <n v="10"/>
    <n v="10"/>
    <m/>
    <m/>
    <m/>
    <m/>
    <m/>
    <m/>
    <m/>
    <m/>
    <m/>
    <m/>
    <m/>
    <m/>
    <m/>
    <m/>
    <m/>
    <m/>
  </r>
  <r>
    <n v="13"/>
    <x v="0"/>
    <x v="10"/>
    <x v="2"/>
    <x v="20"/>
    <n v="2.2000000000000002"/>
    <n v="3.43"/>
    <n v="0.2"/>
    <x v="2"/>
    <n v="5"/>
    <n v="2"/>
    <n v="2"/>
    <m/>
    <m/>
    <m/>
    <m/>
    <m/>
    <m/>
    <m/>
    <m/>
    <m/>
    <m/>
    <m/>
    <m/>
    <m/>
    <m/>
    <m/>
    <m/>
  </r>
  <r>
    <n v="18"/>
    <x v="0"/>
    <x v="34"/>
    <x v="1"/>
    <x v="29"/>
    <n v="1.9"/>
    <n v="3.42"/>
    <n v="0.1"/>
    <x v="2"/>
    <n v="6"/>
    <n v="7"/>
    <n v="8"/>
    <m/>
    <m/>
    <m/>
    <m/>
    <m/>
    <m/>
    <m/>
    <m/>
    <m/>
    <m/>
    <m/>
    <m/>
    <m/>
    <m/>
    <m/>
    <m/>
  </r>
  <r>
    <n v="18"/>
    <x v="0"/>
    <x v="36"/>
    <x v="0"/>
    <x v="34"/>
    <n v="2.5"/>
    <n v="3.16"/>
    <n v="1.3"/>
    <x v="0"/>
    <n v="3"/>
    <n v="7"/>
    <n v="8"/>
    <m/>
    <m/>
    <m/>
    <m/>
    <m/>
    <m/>
    <m/>
    <m/>
    <m/>
    <m/>
    <m/>
    <m/>
    <m/>
    <m/>
    <m/>
    <m/>
  </r>
  <r>
    <n v="13"/>
    <x v="1"/>
    <x v="37"/>
    <x v="1"/>
    <x v="33"/>
    <n v="2.2999999999999998"/>
    <n v="3.3"/>
    <n v="1.9"/>
    <x v="1"/>
    <n v="1"/>
    <n v="1"/>
    <n v="5"/>
    <m/>
    <m/>
    <m/>
    <m/>
    <m/>
    <m/>
    <m/>
    <m/>
    <m/>
    <m/>
    <m/>
    <m/>
    <m/>
    <m/>
    <m/>
    <m/>
  </r>
  <r>
    <n v="18"/>
    <x v="0"/>
    <x v="11"/>
    <x v="0"/>
    <x v="35"/>
    <n v="2.7"/>
    <n v="2.97"/>
    <n v="1.9"/>
    <x v="0"/>
    <n v="4"/>
    <n v="4"/>
    <n v="5"/>
    <m/>
    <m/>
    <m/>
    <m/>
    <m/>
    <m/>
    <m/>
    <m/>
    <m/>
    <m/>
    <m/>
    <m/>
    <m/>
    <m/>
    <m/>
    <m/>
  </r>
  <r>
    <n v="15"/>
    <x v="1"/>
    <x v="3"/>
    <x v="0"/>
    <x v="26"/>
    <n v="0.9"/>
    <n v="2.2999999999999998"/>
    <n v="0"/>
    <x v="0"/>
    <n v="1"/>
    <n v="5"/>
    <n v="3"/>
    <m/>
    <m/>
    <m/>
    <m/>
    <m/>
    <m/>
    <m/>
    <m/>
    <m/>
    <m/>
    <m/>
    <m/>
    <m/>
    <m/>
    <m/>
    <m/>
  </r>
  <r>
    <n v="18"/>
    <x v="0"/>
    <x v="34"/>
    <x v="1"/>
    <x v="8"/>
    <n v="2.5"/>
    <n v="2.65"/>
    <n v="0.7"/>
    <x v="2"/>
    <n v="8"/>
    <n v="9"/>
    <n v="1"/>
    <m/>
    <m/>
    <m/>
    <m/>
    <m/>
    <m/>
    <m/>
    <m/>
    <m/>
    <m/>
    <m/>
    <m/>
    <m/>
    <m/>
    <m/>
    <m/>
  </r>
  <r>
    <n v="16"/>
    <x v="0"/>
    <x v="31"/>
    <x v="1"/>
    <x v="14"/>
    <n v="2.4"/>
    <n v="2.0299999999999998"/>
    <n v="1.7"/>
    <x v="2"/>
    <n v="7"/>
    <n v="5"/>
    <n v="10"/>
    <m/>
    <m/>
    <m/>
    <m/>
    <m/>
    <m/>
    <m/>
    <m/>
    <m/>
    <m/>
    <m/>
    <m/>
    <m/>
    <m/>
    <m/>
    <m/>
  </r>
  <r>
    <n v="13"/>
    <x v="0"/>
    <x v="32"/>
    <x v="2"/>
    <x v="7"/>
    <n v="1.3"/>
    <n v="2.16"/>
    <n v="1"/>
    <x v="1"/>
    <n v="4"/>
    <n v="5"/>
    <n v="2"/>
    <m/>
    <m/>
    <m/>
    <m/>
    <m/>
    <m/>
    <m/>
    <m/>
    <m/>
    <m/>
    <m/>
    <m/>
    <m/>
    <m/>
    <m/>
    <m/>
  </r>
  <r>
    <n v="17"/>
    <x v="1"/>
    <x v="38"/>
    <x v="0"/>
    <x v="21"/>
    <n v="0.6"/>
    <n v="3.07"/>
    <n v="1"/>
    <x v="2"/>
    <n v="1"/>
    <n v="3"/>
    <n v="7"/>
    <m/>
    <m/>
    <m/>
    <m/>
    <m/>
    <m/>
    <m/>
    <m/>
    <m/>
    <m/>
    <m/>
    <m/>
    <m/>
    <m/>
    <m/>
    <m/>
  </r>
  <r>
    <n v="18"/>
    <x v="0"/>
    <x v="25"/>
    <x v="1"/>
    <x v="31"/>
    <n v="2.7"/>
    <n v="3.57"/>
    <n v="0.8"/>
    <x v="1"/>
    <n v="3"/>
    <n v="9"/>
    <n v="7"/>
    <m/>
    <m/>
    <m/>
    <m/>
    <m/>
    <m/>
    <m/>
    <m/>
    <m/>
    <m/>
    <m/>
    <m/>
    <m/>
    <m/>
    <m/>
    <m/>
  </r>
  <r>
    <n v="15"/>
    <x v="1"/>
    <x v="14"/>
    <x v="0"/>
    <x v="10"/>
    <n v="1"/>
    <n v="3.82"/>
    <n v="0.6"/>
    <x v="2"/>
    <n v="6"/>
    <n v="1"/>
    <n v="4"/>
    <m/>
    <m/>
    <m/>
    <m/>
    <m/>
    <m/>
    <m/>
    <m/>
    <m/>
    <m/>
    <m/>
    <m/>
    <m/>
    <m/>
    <m/>
    <m/>
  </r>
  <r>
    <n v="13"/>
    <x v="0"/>
    <x v="39"/>
    <x v="2"/>
    <x v="9"/>
    <n v="0.7"/>
    <n v="3.15"/>
    <n v="0.1"/>
    <x v="2"/>
    <n v="7"/>
    <n v="2"/>
    <n v="1"/>
    <m/>
    <m/>
    <m/>
    <m/>
    <m/>
    <m/>
    <m/>
    <m/>
    <m/>
    <m/>
    <m/>
    <m/>
    <m/>
    <m/>
    <m/>
    <m/>
  </r>
  <r>
    <n v="17"/>
    <x v="0"/>
    <x v="5"/>
    <x v="2"/>
    <x v="18"/>
    <n v="2"/>
    <n v="2.56"/>
    <n v="1.7"/>
    <x v="1"/>
    <n v="5"/>
    <n v="7"/>
    <n v="5"/>
    <m/>
    <m/>
    <m/>
    <m/>
    <m/>
    <m/>
    <m/>
    <m/>
    <m/>
    <m/>
    <m/>
    <m/>
    <m/>
    <m/>
    <m/>
    <m/>
  </r>
  <r>
    <n v="19"/>
    <x v="1"/>
    <x v="0"/>
    <x v="1"/>
    <x v="31"/>
    <n v="1.7"/>
    <n v="2.8"/>
    <n v="0.8"/>
    <x v="0"/>
    <n v="6"/>
    <n v="1"/>
    <n v="8"/>
    <m/>
    <m/>
    <m/>
    <m/>
    <m/>
    <m/>
    <m/>
    <m/>
    <m/>
    <m/>
    <m/>
    <m/>
    <m/>
    <m/>
    <m/>
    <m/>
  </r>
  <r>
    <n v="17"/>
    <x v="0"/>
    <x v="26"/>
    <x v="0"/>
    <x v="1"/>
    <n v="2.6"/>
    <n v="3.53"/>
    <n v="1.9"/>
    <x v="1"/>
    <n v="1"/>
    <n v="8"/>
    <n v="7"/>
    <m/>
    <m/>
    <m/>
    <m/>
    <m/>
    <m/>
    <m/>
    <m/>
    <m/>
    <m/>
    <m/>
    <m/>
    <m/>
    <m/>
    <m/>
    <m/>
  </r>
  <r>
    <n v="13"/>
    <x v="0"/>
    <x v="15"/>
    <x v="1"/>
    <x v="36"/>
    <n v="1.5"/>
    <n v="2.4500000000000002"/>
    <n v="0.3"/>
    <x v="0"/>
    <n v="5"/>
    <n v="8"/>
    <n v="6"/>
    <m/>
    <m/>
    <m/>
    <m/>
    <m/>
    <m/>
    <m/>
    <m/>
    <m/>
    <m/>
    <m/>
    <m/>
    <m/>
    <m/>
    <m/>
    <m/>
  </r>
  <r>
    <n v="17"/>
    <x v="0"/>
    <x v="37"/>
    <x v="2"/>
    <x v="2"/>
    <n v="0.7"/>
    <n v="2.83"/>
    <n v="1"/>
    <x v="2"/>
    <n v="7"/>
    <n v="6"/>
    <n v="8"/>
    <m/>
    <m/>
    <m/>
    <m/>
    <m/>
    <m/>
    <m/>
    <m/>
    <m/>
    <m/>
    <m/>
    <m/>
    <m/>
    <m/>
    <m/>
    <m/>
  </r>
  <r>
    <n v="14"/>
    <x v="1"/>
    <x v="40"/>
    <x v="2"/>
    <x v="37"/>
    <n v="2.8"/>
    <n v="2.8"/>
    <n v="0.1"/>
    <x v="0"/>
    <n v="8"/>
    <n v="2"/>
    <n v="8"/>
    <m/>
    <m/>
    <m/>
    <m/>
    <m/>
    <m/>
    <m/>
    <m/>
    <m/>
    <m/>
    <m/>
    <m/>
    <m/>
    <m/>
    <m/>
    <m/>
  </r>
  <r>
    <n v="15"/>
    <x v="0"/>
    <x v="41"/>
    <x v="2"/>
    <x v="37"/>
    <n v="0.9"/>
    <n v="3.48"/>
    <n v="1.1000000000000001"/>
    <x v="1"/>
    <n v="2"/>
    <n v="2"/>
    <n v="6"/>
    <m/>
    <m/>
    <m/>
    <m/>
    <m/>
    <m/>
    <m/>
    <m/>
    <m/>
    <m/>
    <m/>
    <m/>
    <m/>
    <m/>
    <m/>
    <m/>
  </r>
  <r>
    <n v="14"/>
    <x v="0"/>
    <x v="33"/>
    <x v="2"/>
    <x v="18"/>
    <n v="2"/>
    <n v="3.48"/>
    <n v="1"/>
    <x v="2"/>
    <n v="2"/>
    <n v="1"/>
    <n v="5"/>
    <m/>
    <m/>
    <m/>
    <m/>
    <m/>
    <m/>
    <m/>
    <m/>
    <m/>
    <m/>
    <m/>
    <m/>
    <m/>
    <m/>
    <m/>
    <m/>
  </r>
  <r>
    <n v="16"/>
    <x v="1"/>
    <x v="15"/>
    <x v="1"/>
    <x v="8"/>
    <n v="1.1000000000000001"/>
    <n v="2.73"/>
    <n v="1.6"/>
    <x v="0"/>
    <n v="2"/>
    <n v="8"/>
    <n v="1"/>
    <m/>
    <m/>
    <m/>
    <m/>
    <m/>
    <m/>
    <m/>
    <m/>
    <m/>
    <m/>
    <m/>
    <m/>
    <m/>
    <m/>
    <m/>
    <m/>
  </r>
  <r>
    <n v="16"/>
    <x v="1"/>
    <x v="23"/>
    <x v="0"/>
    <x v="19"/>
    <n v="1.2"/>
    <n v="3"/>
    <n v="0"/>
    <x v="0"/>
    <n v="8"/>
    <n v="8"/>
    <n v="4"/>
    <m/>
    <m/>
    <m/>
    <m/>
    <m/>
    <m/>
    <m/>
    <m/>
    <m/>
    <m/>
    <m/>
    <m/>
    <m/>
    <m/>
    <m/>
    <m/>
  </r>
  <r>
    <n v="14"/>
    <x v="0"/>
    <x v="26"/>
    <x v="0"/>
    <x v="38"/>
    <n v="1.3"/>
    <n v="2.0099999999999998"/>
    <n v="0.6"/>
    <x v="0"/>
    <n v="6"/>
    <n v="3"/>
    <n v="8"/>
    <m/>
    <m/>
    <m/>
    <m/>
    <m/>
    <m/>
    <m/>
    <m/>
    <m/>
    <m/>
    <m/>
    <m/>
    <m/>
    <m/>
    <m/>
    <m/>
  </r>
  <r>
    <n v="14"/>
    <x v="0"/>
    <x v="14"/>
    <x v="2"/>
    <x v="39"/>
    <n v="2.1"/>
    <n v="3.9"/>
    <n v="1.5"/>
    <x v="0"/>
    <n v="10"/>
    <n v="2"/>
    <n v="4"/>
    <m/>
    <m/>
    <m/>
    <m/>
    <m/>
    <m/>
    <m/>
    <m/>
    <m/>
    <m/>
    <m/>
    <m/>
    <m/>
    <m/>
    <m/>
    <m/>
  </r>
  <r>
    <n v="17"/>
    <x v="1"/>
    <x v="42"/>
    <x v="0"/>
    <x v="36"/>
    <n v="0.8"/>
    <n v="2.36"/>
    <n v="0"/>
    <x v="2"/>
    <n v="10"/>
    <n v="10"/>
    <n v="7"/>
    <m/>
    <m/>
    <m/>
    <m/>
    <m/>
    <m/>
    <m/>
    <m/>
    <m/>
    <m/>
    <m/>
    <m/>
    <m/>
    <m/>
    <m/>
    <m/>
  </r>
  <r>
    <n v="13"/>
    <x v="0"/>
    <x v="43"/>
    <x v="1"/>
    <x v="20"/>
    <n v="1.8"/>
    <n v="2.5499999999999998"/>
    <n v="0.8"/>
    <x v="1"/>
    <n v="5"/>
    <n v="5"/>
    <n v="10"/>
    <m/>
    <m/>
    <m/>
    <m/>
    <m/>
    <m/>
    <m/>
    <m/>
    <m/>
    <m/>
    <m/>
    <m/>
    <m/>
    <m/>
    <m/>
    <m/>
  </r>
  <r>
    <n v="13"/>
    <x v="0"/>
    <x v="18"/>
    <x v="1"/>
    <x v="5"/>
    <n v="0.6"/>
    <n v="3.41"/>
    <n v="0.2"/>
    <x v="0"/>
    <n v="8"/>
    <n v="6"/>
    <n v="3"/>
    <m/>
    <m/>
    <m/>
    <m/>
    <m/>
    <m/>
    <m/>
    <m/>
    <m/>
    <m/>
    <m/>
    <m/>
    <m/>
    <m/>
    <m/>
    <m/>
  </r>
  <r>
    <n v="15"/>
    <x v="0"/>
    <x v="16"/>
    <x v="2"/>
    <x v="34"/>
    <n v="2.1"/>
    <n v="3.71"/>
    <n v="1.3"/>
    <x v="1"/>
    <n v="3"/>
    <n v="3"/>
    <n v="3"/>
    <m/>
    <m/>
    <m/>
    <m/>
    <m/>
    <m/>
    <m/>
    <m/>
    <m/>
    <m/>
    <m/>
    <m/>
    <m/>
    <m/>
    <m/>
    <m/>
  </r>
  <r>
    <n v="18"/>
    <x v="0"/>
    <x v="43"/>
    <x v="2"/>
    <x v="11"/>
    <n v="1"/>
    <n v="3.13"/>
    <n v="0.6"/>
    <x v="2"/>
    <n v="2"/>
    <n v="1"/>
    <n v="4"/>
    <m/>
    <m/>
    <m/>
    <m/>
    <m/>
    <m/>
    <m/>
    <m/>
    <m/>
    <m/>
    <m/>
    <m/>
    <m/>
    <m/>
    <m/>
    <m/>
  </r>
  <r>
    <n v="18"/>
    <x v="1"/>
    <x v="3"/>
    <x v="0"/>
    <x v="40"/>
    <n v="2.2999999999999998"/>
    <n v="2.39"/>
    <n v="0.9"/>
    <x v="1"/>
    <n v="4"/>
    <n v="1"/>
    <n v="4"/>
    <m/>
    <m/>
    <m/>
    <m/>
    <m/>
    <m/>
    <m/>
    <m/>
    <m/>
    <m/>
    <m/>
    <m/>
    <m/>
    <m/>
    <m/>
    <m/>
  </r>
  <r>
    <n v="19"/>
    <x v="1"/>
    <x v="29"/>
    <x v="1"/>
    <x v="41"/>
    <n v="1.5"/>
    <n v="2.61"/>
    <n v="1.2"/>
    <x v="1"/>
    <n v="2"/>
    <n v="2"/>
    <n v="6"/>
    <m/>
    <m/>
    <m/>
    <m/>
    <m/>
    <m/>
    <m/>
    <m/>
    <m/>
    <m/>
    <m/>
    <m/>
    <m/>
    <m/>
    <m/>
    <m/>
  </r>
  <r>
    <n v="14"/>
    <x v="0"/>
    <x v="17"/>
    <x v="2"/>
    <x v="42"/>
    <n v="2.2000000000000002"/>
    <n v="2.19"/>
    <n v="1.9"/>
    <x v="2"/>
    <n v="9"/>
    <n v="9"/>
    <n v="4"/>
    <m/>
    <m/>
    <m/>
    <m/>
    <m/>
    <m/>
    <m/>
    <m/>
    <m/>
    <m/>
    <m/>
    <m/>
    <m/>
    <m/>
    <m/>
    <m/>
  </r>
  <r>
    <n v="13"/>
    <x v="0"/>
    <x v="3"/>
    <x v="0"/>
    <x v="21"/>
    <n v="1.4"/>
    <n v="2.95"/>
    <n v="1.7"/>
    <x v="1"/>
    <n v="8"/>
    <n v="5"/>
    <n v="5"/>
    <m/>
    <m/>
    <m/>
    <m/>
    <m/>
    <m/>
    <m/>
    <m/>
    <m/>
    <m/>
    <m/>
    <m/>
    <m/>
    <m/>
    <m/>
    <m/>
  </r>
  <r>
    <n v="16"/>
    <x v="1"/>
    <x v="44"/>
    <x v="2"/>
    <x v="26"/>
    <n v="1.3"/>
    <n v="3.64"/>
    <n v="1.6"/>
    <x v="1"/>
    <n v="5"/>
    <n v="3"/>
    <n v="1"/>
    <m/>
    <m/>
    <m/>
    <m/>
    <m/>
    <m/>
    <m/>
    <m/>
    <m/>
    <m/>
    <m/>
    <m/>
    <m/>
    <m/>
    <m/>
    <m/>
  </r>
  <r>
    <n v="17"/>
    <x v="1"/>
    <x v="27"/>
    <x v="2"/>
    <x v="43"/>
    <n v="2.5"/>
    <n v="3.4"/>
    <n v="0.9"/>
    <x v="1"/>
    <n v="8"/>
    <n v="10"/>
    <n v="5"/>
    <m/>
    <m/>
    <m/>
    <m/>
    <m/>
    <m/>
    <m/>
    <m/>
    <m/>
    <m/>
    <m/>
    <m/>
    <m/>
    <m/>
    <m/>
    <m/>
  </r>
  <r>
    <n v="18"/>
    <x v="0"/>
    <x v="41"/>
    <x v="0"/>
    <x v="0"/>
    <n v="1.8"/>
    <n v="3.47"/>
    <n v="0"/>
    <x v="0"/>
    <n v="9"/>
    <n v="4"/>
    <n v="2"/>
    <m/>
    <m/>
    <m/>
    <m/>
    <m/>
    <m/>
    <m/>
    <m/>
    <m/>
    <m/>
    <m/>
    <m/>
    <m/>
    <m/>
    <m/>
    <m/>
  </r>
  <r>
    <n v="17"/>
    <x v="1"/>
    <x v="45"/>
    <x v="2"/>
    <x v="12"/>
    <n v="2.5"/>
    <n v="3.13"/>
    <n v="1.9"/>
    <x v="2"/>
    <n v="5"/>
    <n v="10"/>
    <n v="3"/>
    <m/>
    <m/>
    <m/>
    <m/>
    <m/>
    <m/>
    <m/>
    <m/>
    <m/>
    <m/>
    <m/>
    <m/>
    <m/>
    <m/>
    <m/>
    <m/>
  </r>
  <r>
    <n v="17"/>
    <x v="1"/>
    <x v="46"/>
    <x v="0"/>
    <x v="14"/>
    <n v="1.7"/>
    <n v="2.77"/>
    <n v="0.9"/>
    <x v="2"/>
    <n v="8"/>
    <n v="4"/>
    <n v="8"/>
    <m/>
    <m/>
    <m/>
    <m/>
    <m/>
    <m/>
    <m/>
    <m/>
    <m/>
    <m/>
    <m/>
    <m/>
    <m/>
    <m/>
    <m/>
    <m/>
  </r>
  <r>
    <n v="18"/>
    <x v="0"/>
    <x v="10"/>
    <x v="0"/>
    <x v="29"/>
    <n v="2.8"/>
    <n v="3.41"/>
    <n v="1.1000000000000001"/>
    <x v="2"/>
    <n v="7"/>
    <n v="8"/>
    <n v="1"/>
    <m/>
    <m/>
    <m/>
    <m/>
    <m/>
    <m/>
    <m/>
    <m/>
    <m/>
    <m/>
    <m/>
    <m/>
    <m/>
    <m/>
    <m/>
    <m/>
  </r>
  <r>
    <n v="17"/>
    <x v="1"/>
    <x v="4"/>
    <x v="0"/>
    <x v="10"/>
    <n v="2.4"/>
    <n v="3.94"/>
    <n v="0"/>
    <x v="2"/>
    <n v="10"/>
    <n v="5"/>
    <n v="8"/>
    <m/>
    <m/>
    <m/>
    <m/>
    <m/>
    <m/>
    <m/>
    <m/>
    <m/>
    <m/>
    <m/>
    <m/>
    <m/>
    <m/>
    <m/>
    <m/>
  </r>
  <r>
    <n v="18"/>
    <x v="1"/>
    <x v="6"/>
    <x v="0"/>
    <x v="17"/>
    <n v="2.2000000000000002"/>
    <n v="3.7"/>
    <n v="0.6"/>
    <x v="2"/>
    <n v="4"/>
    <n v="1"/>
    <n v="4"/>
    <m/>
    <m/>
    <m/>
    <m/>
    <m/>
    <m/>
    <m/>
    <m/>
    <m/>
    <m/>
    <m/>
    <m/>
    <m/>
    <m/>
    <m/>
    <m/>
  </r>
  <r>
    <n v="18"/>
    <x v="0"/>
    <x v="10"/>
    <x v="1"/>
    <x v="26"/>
    <n v="1.5"/>
    <n v="3.22"/>
    <n v="1.6"/>
    <x v="0"/>
    <n v="4"/>
    <n v="5"/>
    <n v="7"/>
    <m/>
    <m/>
    <m/>
    <m/>
    <m/>
    <m/>
    <m/>
    <m/>
    <m/>
    <m/>
    <m/>
    <m/>
    <m/>
    <m/>
    <m/>
    <m/>
  </r>
  <r>
    <n v="17"/>
    <x v="1"/>
    <x v="46"/>
    <x v="1"/>
    <x v="16"/>
    <n v="2"/>
    <n v="2.2200000000000002"/>
    <n v="1"/>
    <x v="2"/>
    <n v="6"/>
    <n v="9"/>
    <n v="8"/>
    <m/>
    <m/>
    <m/>
    <m/>
    <m/>
    <m/>
    <m/>
    <m/>
    <m/>
    <m/>
    <m/>
    <m/>
    <m/>
    <m/>
    <m/>
    <m/>
  </r>
  <r>
    <n v="13"/>
    <x v="1"/>
    <x v="6"/>
    <x v="0"/>
    <x v="5"/>
    <n v="2.5"/>
    <n v="3.6"/>
    <n v="1.4"/>
    <x v="2"/>
    <n v="7"/>
    <n v="2"/>
    <n v="10"/>
    <m/>
    <m/>
    <m/>
    <m/>
    <m/>
    <m/>
    <m/>
    <m/>
    <m/>
    <m/>
    <m/>
    <m/>
    <m/>
    <m/>
    <m/>
    <m/>
  </r>
  <r>
    <n v="15"/>
    <x v="1"/>
    <x v="47"/>
    <x v="0"/>
    <x v="6"/>
    <n v="2.4"/>
    <n v="2.16"/>
    <n v="1.9"/>
    <x v="2"/>
    <n v="3"/>
    <n v="6"/>
    <n v="9"/>
    <m/>
    <m/>
    <m/>
    <m/>
    <m/>
    <m/>
    <m/>
    <m/>
    <m/>
    <m/>
    <m/>
    <m/>
    <m/>
    <m/>
    <m/>
    <m/>
  </r>
  <r>
    <n v="13"/>
    <x v="0"/>
    <x v="15"/>
    <x v="1"/>
    <x v="44"/>
    <n v="1.9"/>
    <n v="3.66"/>
    <n v="0.4"/>
    <x v="0"/>
    <n v="7"/>
    <n v="4"/>
    <n v="2"/>
    <m/>
    <m/>
    <m/>
    <m/>
    <m/>
    <m/>
    <m/>
    <m/>
    <m/>
    <m/>
    <m/>
    <m/>
    <m/>
    <m/>
    <m/>
    <m/>
  </r>
  <r>
    <n v="13"/>
    <x v="1"/>
    <x v="35"/>
    <x v="1"/>
    <x v="42"/>
    <n v="2.5"/>
    <n v="2.57"/>
    <n v="1.1000000000000001"/>
    <x v="1"/>
    <n v="1"/>
    <n v="6"/>
    <n v="3"/>
    <m/>
    <m/>
    <m/>
    <m/>
    <m/>
    <m/>
    <m/>
    <m/>
    <m/>
    <m/>
    <m/>
    <m/>
    <m/>
    <m/>
    <m/>
    <m/>
  </r>
  <r>
    <n v="18"/>
    <x v="0"/>
    <x v="3"/>
    <x v="1"/>
    <x v="6"/>
    <n v="2.2000000000000002"/>
    <n v="3.51"/>
    <n v="1"/>
    <x v="1"/>
    <n v="4"/>
    <n v="5"/>
    <n v="4"/>
    <m/>
    <m/>
    <m/>
    <m/>
    <m/>
    <m/>
    <m/>
    <m/>
    <m/>
    <m/>
    <m/>
    <m/>
    <m/>
    <m/>
    <m/>
    <m/>
  </r>
  <r>
    <n v="16"/>
    <x v="0"/>
    <x v="48"/>
    <x v="0"/>
    <x v="24"/>
    <n v="1.4"/>
    <n v="2.95"/>
    <n v="0.3"/>
    <x v="2"/>
    <n v="2"/>
    <n v="5"/>
    <n v="2"/>
    <m/>
    <m/>
    <m/>
    <m/>
    <m/>
    <m/>
    <m/>
    <m/>
    <m/>
    <m/>
    <m/>
    <m/>
    <m/>
    <m/>
    <m/>
    <m/>
  </r>
  <r>
    <n v="13"/>
    <x v="0"/>
    <x v="49"/>
    <x v="2"/>
    <x v="29"/>
    <n v="1.6"/>
    <n v="3.32"/>
    <n v="0.8"/>
    <x v="2"/>
    <n v="1"/>
    <n v="3"/>
    <n v="8"/>
    <m/>
    <m/>
    <m/>
    <m/>
    <m/>
    <m/>
    <m/>
    <m/>
    <m/>
    <m/>
    <m/>
    <m/>
    <m/>
    <m/>
    <m/>
    <m/>
  </r>
  <r>
    <n v="18"/>
    <x v="1"/>
    <x v="22"/>
    <x v="0"/>
    <x v="32"/>
    <n v="1.3"/>
    <n v="3.05"/>
    <n v="1.7"/>
    <x v="0"/>
    <n v="2"/>
    <n v="9"/>
    <n v="5"/>
    <m/>
    <m/>
    <m/>
    <m/>
    <m/>
    <m/>
    <m/>
    <m/>
    <m/>
    <m/>
    <m/>
    <m/>
    <m/>
    <m/>
    <m/>
    <m/>
  </r>
  <r>
    <n v="13"/>
    <x v="0"/>
    <x v="25"/>
    <x v="0"/>
    <x v="7"/>
    <n v="1.5"/>
    <n v="3.72"/>
    <n v="1.7"/>
    <x v="2"/>
    <n v="10"/>
    <n v="1"/>
    <n v="10"/>
    <m/>
    <m/>
    <m/>
    <m/>
    <m/>
    <m/>
    <m/>
    <m/>
    <m/>
    <m/>
    <m/>
    <m/>
    <m/>
    <m/>
    <m/>
    <m/>
  </r>
  <r>
    <n v="18"/>
    <x v="0"/>
    <x v="37"/>
    <x v="0"/>
    <x v="18"/>
    <n v="1.9"/>
    <n v="3"/>
    <n v="1.9"/>
    <x v="0"/>
    <n v="5"/>
    <n v="8"/>
    <n v="2"/>
    <m/>
    <m/>
    <m/>
    <m/>
    <m/>
    <m/>
    <m/>
    <m/>
    <m/>
    <m/>
    <m/>
    <m/>
    <m/>
    <m/>
    <m/>
    <m/>
  </r>
  <r>
    <n v="15"/>
    <x v="0"/>
    <x v="26"/>
    <x v="1"/>
    <x v="45"/>
    <n v="1.9"/>
    <n v="2.75"/>
    <n v="1.9"/>
    <x v="2"/>
    <n v="3"/>
    <n v="6"/>
    <n v="6"/>
    <m/>
    <m/>
    <m/>
    <m/>
    <m/>
    <m/>
    <m/>
    <m/>
    <m/>
    <m/>
    <m/>
    <m/>
    <m/>
    <m/>
    <m/>
    <m/>
  </r>
  <r>
    <n v="13"/>
    <x v="1"/>
    <x v="6"/>
    <x v="2"/>
    <x v="34"/>
    <n v="1"/>
    <n v="3.65"/>
    <n v="1.8"/>
    <x v="0"/>
    <n v="5"/>
    <n v="6"/>
    <n v="5"/>
    <m/>
    <m/>
    <m/>
    <m/>
    <m/>
    <m/>
    <m/>
    <m/>
    <m/>
    <m/>
    <m/>
    <m/>
    <m/>
    <m/>
    <m/>
    <m/>
  </r>
  <r>
    <n v="18"/>
    <x v="0"/>
    <x v="50"/>
    <x v="2"/>
    <x v="28"/>
    <n v="1.2"/>
    <n v="3.71"/>
    <n v="1.1000000000000001"/>
    <x v="2"/>
    <n v="7"/>
    <n v="6"/>
    <n v="10"/>
    <m/>
    <m/>
    <m/>
    <m/>
    <m/>
    <m/>
    <m/>
    <m/>
    <m/>
    <m/>
    <m/>
    <m/>
    <m/>
    <m/>
    <m/>
    <m/>
  </r>
  <r>
    <n v="13"/>
    <x v="0"/>
    <x v="25"/>
    <x v="1"/>
    <x v="39"/>
    <n v="0.6"/>
    <n v="3.91"/>
    <n v="2"/>
    <x v="2"/>
    <n v="5"/>
    <n v="10"/>
    <n v="7"/>
    <m/>
    <m/>
    <m/>
    <m/>
    <m/>
    <m/>
    <m/>
    <m/>
    <m/>
    <m/>
    <m/>
    <m/>
    <m/>
    <m/>
    <m/>
    <m/>
  </r>
  <r>
    <n v="14"/>
    <x v="0"/>
    <x v="21"/>
    <x v="1"/>
    <x v="1"/>
    <n v="2.5"/>
    <n v="3.08"/>
    <n v="1.7"/>
    <x v="2"/>
    <n v="5"/>
    <n v="6"/>
    <n v="7"/>
    <m/>
    <m/>
    <m/>
    <m/>
    <m/>
    <m/>
    <m/>
    <m/>
    <m/>
    <m/>
    <m/>
    <m/>
    <m/>
    <m/>
    <m/>
    <m/>
  </r>
  <r>
    <n v="17"/>
    <x v="0"/>
    <x v="51"/>
    <x v="1"/>
    <x v="33"/>
    <n v="1.2"/>
    <n v="3.56"/>
    <n v="0"/>
    <x v="2"/>
    <n v="7"/>
    <n v="10"/>
    <n v="7"/>
    <m/>
    <m/>
    <m/>
    <m/>
    <m/>
    <m/>
    <m/>
    <m/>
    <m/>
    <m/>
    <m/>
    <m/>
    <m/>
    <m/>
    <m/>
    <m/>
  </r>
  <r>
    <n v="16"/>
    <x v="0"/>
    <x v="29"/>
    <x v="2"/>
    <x v="20"/>
    <n v="0.6"/>
    <n v="3.36"/>
    <n v="0.7"/>
    <x v="1"/>
    <n v="7"/>
    <n v="6"/>
    <n v="9"/>
    <m/>
    <m/>
    <m/>
    <m/>
    <m/>
    <m/>
    <m/>
    <m/>
    <m/>
    <m/>
    <m/>
    <m/>
    <m/>
    <m/>
    <m/>
    <m/>
  </r>
  <r>
    <n v="17"/>
    <x v="1"/>
    <x v="33"/>
    <x v="2"/>
    <x v="41"/>
    <n v="0.6"/>
    <n v="3.07"/>
    <n v="0.6"/>
    <x v="2"/>
    <n v="6"/>
    <n v="2"/>
    <n v="9"/>
    <m/>
    <m/>
    <m/>
    <m/>
    <m/>
    <m/>
    <m/>
    <m/>
    <m/>
    <m/>
    <m/>
    <m/>
    <m/>
    <m/>
    <m/>
    <m/>
  </r>
  <r>
    <n v="13"/>
    <x v="0"/>
    <x v="12"/>
    <x v="2"/>
    <x v="45"/>
    <n v="2.4"/>
    <n v="3.99"/>
    <n v="1.7"/>
    <x v="1"/>
    <n v="1"/>
    <n v="3"/>
    <n v="1"/>
    <m/>
    <m/>
    <m/>
    <m/>
    <m/>
    <m/>
    <m/>
    <m/>
    <m/>
    <m/>
    <m/>
    <m/>
    <m/>
    <m/>
    <m/>
    <m/>
  </r>
  <r>
    <n v="15"/>
    <x v="0"/>
    <x v="28"/>
    <x v="1"/>
    <x v="42"/>
    <n v="1.4"/>
    <n v="2.98"/>
    <n v="1.9"/>
    <x v="0"/>
    <n v="1"/>
    <n v="4"/>
    <n v="5"/>
    <m/>
    <m/>
    <m/>
    <m/>
    <m/>
    <m/>
    <m/>
    <m/>
    <m/>
    <m/>
    <m/>
    <m/>
    <m/>
    <m/>
    <m/>
    <m/>
  </r>
  <r>
    <n v="13"/>
    <x v="0"/>
    <x v="39"/>
    <x v="1"/>
    <x v="40"/>
    <n v="2.7"/>
    <n v="2.29"/>
    <n v="0.8"/>
    <x v="1"/>
    <n v="1"/>
    <n v="10"/>
    <n v="1"/>
    <m/>
    <m/>
    <m/>
    <m/>
    <m/>
    <m/>
    <m/>
    <m/>
    <m/>
    <m/>
    <m/>
    <m/>
    <m/>
    <m/>
    <m/>
    <m/>
  </r>
  <r>
    <n v="17"/>
    <x v="1"/>
    <x v="19"/>
    <x v="0"/>
    <x v="26"/>
    <n v="3"/>
    <n v="2.77"/>
    <n v="0.1"/>
    <x v="2"/>
    <n v="3"/>
    <n v="6"/>
    <n v="1"/>
    <m/>
    <m/>
    <m/>
    <m/>
    <m/>
    <m/>
    <m/>
    <m/>
    <m/>
    <m/>
    <m/>
    <m/>
    <m/>
    <m/>
    <m/>
    <m/>
  </r>
  <r>
    <n v="15"/>
    <x v="0"/>
    <x v="52"/>
    <x v="2"/>
    <x v="46"/>
    <n v="2"/>
    <n v="3.89"/>
    <n v="1.3"/>
    <x v="1"/>
    <n v="8"/>
    <n v="2"/>
    <n v="2"/>
    <m/>
    <m/>
    <m/>
    <m/>
    <m/>
    <m/>
    <m/>
    <m/>
    <m/>
    <m/>
    <m/>
    <m/>
    <m/>
    <m/>
    <m/>
    <m/>
  </r>
  <r>
    <n v="19"/>
    <x v="1"/>
    <x v="53"/>
    <x v="2"/>
    <x v="28"/>
    <n v="2.1"/>
    <n v="3.75"/>
    <n v="1.3"/>
    <x v="1"/>
    <n v="10"/>
    <n v="9"/>
    <n v="6"/>
    <m/>
    <m/>
    <m/>
    <m/>
    <m/>
    <m/>
    <m/>
    <m/>
    <m/>
    <m/>
    <m/>
    <m/>
    <m/>
    <m/>
    <m/>
    <m/>
  </r>
  <r>
    <n v="17"/>
    <x v="0"/>
    <x v="52"/>
    <x v="0"/>
    <x v="29"/>
    <n v="2.7"/>
    <n v="3.66"/>
    <n v="1.1000000000000001"/>
    <x v="2"/>
    <n v="6"/>
    <n v="10"/>
    <n v="10"/>
    <m/>
    <m/>
    <m/>
    <m/>
    <m/>
    <m/>
    <m/>
    <m/>
    <m/>
    <m/>
    <m/>
    <m/>
    <m/>
    <m/>
    <m/>
    <m/>
  </r>
  <r>
    <n v="17"/>
    <x v="1"/>
    <x v="50"/>
    <x v="1"/>
    <x v="7"/>
    <n v="0.6"/>
    <n v="2.21"/>
    <n v="1.4"/>
    <x v="2"/>
    <n v="6"/>
    <n v="6"/>
    <n v="3"/>
    <m/>
    <m/>
    <m/>
    <m/>
    <m/>
    <m/>
    <m/>
    <m/>
    <m/>
    <m/>
    <m/>
    <m/>
    <m/>
    <m/>
    <m/>
    <m/>
  </r>
  <r>
    <n v="13"/>
    <x v="0"/>
    <x v="22"/>
    <x v="1"/>
    <x v="29"/>
    <n v="0.8"/>
    <n v="2.79"/>
    <n v="1.1000000000000001"/>
    <x v="2"/>
    <n v="8"/>
    <n v="6"/>
    <n v="3"/>
    <m/>
    <m/>
    <m/>
    <m/>
    <m/>
    <m/>
    <m/>
    <m/>
    <m/>
    <m/>
    <m/>
    <m/>
    <m/>
    <m/>
    <m/>
    <m/>
  </r>
  <r>
    <n v="15"/>
    <x v="1"/>
    <x v="6"/>
    <x v="0"/>
    <x v="46"/>
    <n v="2.1"/>
    <n v="2.0099999999999998"/>
    <n v="0.4"/>
    <x v="2"/>
    <n v="4"/>
    <n v="8"/>
    <n v="8"/>
    <m/>
    <m/>
    <m/>
    <m/>
    <m/>
    <m/>
    <m/>
    <m/>
    <m/>
    <m/>
    <m/>
    <m/>
    <m/>
    <m/>
    <m/>
    <m/>
  </r>
  <r>
    <n v="17"/>
    <x v="1"/>
    <x v="54"/>
    <x v="2"/>
    <x v="28"/>
    <n v="1.3"/>
    <n v="4"/>
    <n v="0.9"/>
    <x v="2"/>
    <n v="8"/>
    <n v="10"/>
    <n v="7"/>
    <m/>
    <m/>
    <m/>
    <m/>
    <m/>
    <m/>
    <m/>
    <m/>
    <m/>
    <m/>
    <m/>
    <m/>
    <m/>
    <m/>
    <m/>
    <m/>
  </r>
  <r>
    <n v="18"/>
    <x v="0"/>
    <x v="17"/>
    <x v="1"/>
    <x v="1"/>
    <n v="1.7"/>
    <n v="3.12"/>
    <n v="0.1"/>
    <x v="0"/>
    <n v="6"/>
    <n v="4"/>
    <n v="2"/>
    <m/>
    <m/>
    <m/>
    <m/>
    <m/>
    <m/>
    <m/>
    <m/>
    <m/>
    <m/>
    <m/>
    <m/>
    <m/>
    <m/>
    <m/>
    <m/>
  </r>
  <r>
    <n v="16"/>
    <x v="0"/>
    <x v="12"/>
    <x v="2"/>
    <x v="9"/>
    <n v="2.8"/>
    <n v="2.17"/>
    <n v="0.5"/>
    <x v="2"/>
    <n v="3"/>
    <n v="9"/>
    <n v="2"/>
    <m/>
    <m/>
    <m/>
    <m/>
    <m/>
    <m/>
    <m/>
    <m/>
    <m/>
    <m/>
    <m/>
    <m/>
    <m/>
    <m/>
    <m/>
    <m/>
  </r>
  <r>
    <n v="19"/>
    <x v="0"/>
    <x v="52"/>
    <x v="2"/>
    <x v="46"/>
    <n v="2.2999999999999998"/>
    <n v="2.21"/>
    <n v="0.4"/>
    <x v="1"/>
    <n v="8"/>
    <n v="8"/>
    <n v="6"/>
    <m/>
    <m/>
    <m/>
    <m/>
    <m/>
    <m/>
    <m/>
    <m/>
    <m/>
    <m/>
    <m/>
    <m/>
    <m/>
    <m/>
    <m/>
    <m/>
  </r>
  <r>
    <n v="16"/>
    <x v="0"/>
    <x v="24"/>
    <x v="0"/>
    <x v="21"/>
    <n v="0.8"/>
    <n v="3.48"/>
    <n v="1.7"/>
    <x v="2"/>
    <n v="4"/>
    <n v="3"/>
    <n v="4"/>
    <m/>
    <m/>
    <m/>
    <m/>
    <m/>
    <m/>
    <m/>
    <m/>
    <m/>
    <m/>
    <m/>
    <m/>
    <m/>
    <m/>
    <m/>
    <m/>
  </r>
  <r>
    <n v="13"/>
    <x v="0"/>
    <x v="54"/>
    <x v="1"/>
    <x v="11"/>
    <n v="1.5"/>
    <n v="2.36"/>
    <n v="0.2"/>
    <x v="0"/>
    <n v="1"/>
    <n v="3"/>
    <n v="4"/>
    <m/>
    <m/>
    <m/>
    <m/>
    <m/>
    <m/>
    <m/>
    <m/>
    <m/>
    <m/>
    <m/>
    <m/>
    <m/>
    <m/>
    <m/>
    <m/>
  </r>
  <r>
    <n v="18"/>
    <x v="1"/>
    <x v="43"/>
    <x v="2"/>
    <x v="1"/>
    <n v="2.7"/>
    <n v="2.04"/>
    <n v="0.1"/>
    <x v="0"/>
    <n v="7"/>
    <n v="10"/>
    <n v="2"/>
    <m/>
    <m/>
    <m/>
    <m/>
    <m/>
    <m/>
    <m/>
    <m/>
    <m/>
    <m/>
    <m/>
    <m/>
    <m/>
    <m/>
    <m/>
    <m/>
  </r>
  <r>
    <n v="13"/>
    <x v="1"/>
    <x v="55"/>
    <x v="0"/>
    <x v="47"/>
    <n v="1.3"/>
    <n v="3.97"/>
    <n v="0.2"/>
    <x v="2"/>
    <n v="7"/>
    <n v="10"/>
    <n v="9"/>
    <m/>
    <m/>
    <m/>
    <m/>
    <m/>
    <m/>
    <m/>
    <m/>
    <m/>
    <m/>
    <m/>
    <m/>
    <m/>
    <m/>
    <m/>
    <m/>
  </r>
  <r>
    <n v="13"/>
    <x v="1"/>
    <x v="4"/>
    <x v="2"/>
    <x v="16"/>
    <n v="1.7"/>
    <n v="3.27"/>
    <n v="1.4"/>
    <x v="0"/>
    <n v="4"/>
    <n v="2"/>
    <n v="4"/>
    <m/>
    <m/>
    <m/>
    <m/>
    <m/>
    <m/>
    <m/>
    <m/>
    <m/>
    <m/>
    <m/>
    <m/>
    <m/>
    <m/>
    <m/>
    <m/>
  </r>
  <r>
    <n v="15"/>
    <x v="0"/>
    <x v="3"/>
    <x v="1"/>
    <x v="32"/>
    <n v="1.3"/>
    <n v="3.47"/>
    <n v="1.2"/>
    <x v="2"/>
    <n v="1"/>
    <n v="3"/>
    <n v="9"/>
    <m/>
    <m/>
    <m/>
    <m/>
    <m/>
    <m/>
    <m/>
    <m/>
    <m/>
    <m/>
    <m/>
    <m/>
    <m/>
    <m/>
    <m/>
    <m/>
  </r>
  <r>
    <n v="17"/>
    <x v="0"/>
    <x v="40"/>
    <x v="0"/>
    <x v="20"/>
    <n v="2.4"/>
    <n v="3.82"/>
    <n v="0.8"/>
    <x v="1"/>
    <n v="3"/>
    <n v="6"/>
    <n v="10"/>
    <m/>
    <m/>
    <m/>
    <m/>
    <m/>
    <m/>
    <m/>
    <m/>
    <m/>
    <m/>
    <m/>
    <m/>
    <m/>
    <m/>
    <m/>
    <m/>
  </r>
  <r>
    <n v="18"/>
    <x v="0"/>
    <x v="15"/>
    <x v="0"/>
    <x v="12"/>
    <n v="2.9"/>
    <n v="3.1"/>
    <n v="0.6"/>
    <x v="2"/>
    <n v="9"/>
    <n v="4"/>
    <n v="2"/>
    <m/>
    <m/>
    <m/>
    <m/>
    <m/>
    <m/>
    <m/>
    <m/>
    <m/>
    <m/>
    <m/>
    <m/>
    <m/>
    <m/>
    <m/>
    <m/>
  </r>
  <r>
    <n v="16"/>
    <x v="1"/>
    <x v="44"/>
    <x v="1"/>
    <x v="28"/>
    <n v="1.7"/>
    <n v="2.39"/>
    <n v="1"/>
    <x v="2"/>
    <n v="5"/>
    <n v="2"/>
    <n v="6"/>
    <m/>
    <m/>
    <m/>
    <m/>
    <m/>
    <m/>
    <m/>
    <m/>
    <m/>
    <m/>
    <m/>
    <m/>
    <m/>
    <m/>
    <m/>
    <m/>
  </r>
  <r>
    <n v="13"/>
    <x v="0"/>
    <x v="27"/>
    <x v="1"/>
    <x v="3"/>
    <n v="0.6"/>
    <n v="3.03"/>
    <n v="0.8"/>
    <x v="0"/>
    <n v="9"/>
    <n v="3"/>
    <n v="8"/>
    <m/>
    <m/>
    <m/>
    <m/>
    <m/>
    <m/>
    <m/>
    <m/>
    <m/>
    <m/>
    <m/>
    <m/>
    <m/>
    <m/>
    <m/>
    <m/>
  </r>
  <r>
    <n v="18"/>
    <x v="0"/>
    <x v="34"/>
    <x v="0"/>
    <x v="46"/>
    <n v="1.6"/>
    <n v="3.72"/>
    <n v="1.2"/>
    <x v="0"/>
    <n v="1"/>
    <n v="2"/>
    <n v="1"/>
    <m/>
    <m/>
    <m/>
    <m/>
    <m/>
    <m/>
    <m/>
    <m/>
    <m/>
    <m/>
    <m/>
    <m/>
    <m/>
    <m/>
    <m/>
    <m/>
  </r>
  <r>
    <n v="17"/>
    <x v="0"/>
    <x v="56"/>
    <x v="1"/>
    <x v="10"/>
    <n v="2"/>
    <n v="2.99"/>
    <n v="1.9"/>
    <x v="0"/>
    <n v="5"/>
    <n v="1"/>
    <n v="8"/>
    <m/>
    <m/>
    <m/>
    <m/>
    <m/>
    <m/>
    <m/>
    <m/>
    <m/>
    <m/>
    <m/>
    <m/>
    <m/>
    <m/>
    <m/>
    <m/>
  </r>
  <r>
    <n v="14"/>
    <x v="1"/>
    <x v="31"/>
    <x v="0"/>
    <x v="41"/>
    <n v="1.1000000000000001"/>
    <n v="3.81"/>
    <n v="0.9"/>
    <x v="2"/>
    <n v="8"/>
    <n v="2"/>
    <n v="3"/>
    <m/>
    <m/>
    <m/>
    <m/>
    <m/>
    <m/>
    <m/>
    <m/>
    <m/>
    <m/>
    <m/>
    <m/>
    <m/>
    <m/>
    <m/>
    <m/>
  </r>
  <r>
    <n v="15"/>
    <x v="1"/>
    <x v="21"/>
    <x v="1"/>
    <x v="35"/>
    <n v="2.6"/>
    <n v="3.18"/>
    <n v="0.1"/>
    <x v="0"/>
    <n v="1"/>
    <n v="8"/>
    <n v="4"/>
    <m/>
    <m/>
    <m/>
    <m/>
    <m/>
    <m/>
    <m/>
    <m/>
    <m/>
    <m/>
    <m/>
    <m/>
    <m/>
    <m/>
    <m/>
    <m/>
  </r>
  <r>
    <n v="13"/>
    <x v="1"/>
    <x v="57"/>
    <x v="1"/>
    <x v="28"/>
    <n v="1.3"/>
    <n v="2.69"/>
    <n v="0.4"/>
    <x v="0"/>
    <n v="3"/>
    <n v="1"/>
    <n v="7"/>
    <m/>
    <m/>
    <m/>
    <m/>
    <m/>
    <m/>
    <m/>
    <m/>
    <m/>
    <m/>
    <m/>
    <m/>
    <m/>
    <m/>
    <m/>
    <m/>
  </r>
  <r>
    <n v="19"/>
    <x v="0"/>
    <x v="21"/>
    <x v="0"/>
    <x v="3"/>
    <n v="2.2999999999999998"/>
    <n v="2.17"/>
    <n v="1.6"/>
    <x v="2"/>
    <n v="3"/>
    <n v="6"/>
    <n v="10"/>
    <m/>
    <m/>
    <m/>
    <m/>
    <m/>
    <m/>
    <m/>
    <m/>
    <m/>
    <m/>
    <m/>
    <m/>
    <m/>
    <m/>
    <m/>
    <m/>
  </r>
  <r>
    <n v="13"/>
    <x v="0"/>
    <x v="39"/>
    <x v="0"/>
    <x v="5"/>
    <n v="0.7"/>
    <n v="3.19"/>
    <n v="0.3"/>
    <x v="0"/>
    <n v="6"/>
    <n v="2"/>
    <n v="6"/>
    <m/>
    <m/>
    <m/>
    <m/>
    <m/>
    <m/>
    <m/>
    <m/>
    <m/>
    <m/>
    <m/>
    <m/>
    <m/>
    <m/>
    <m/>
    <m/>
  </r>
  <r>
    <n v="18"/>
    <x v="1"/>
    <x v="40"/>
    <x v="1"/>
    <x v="42"/>
    <n v="1.8"/>
    <n v="2.41"/>
    <n v="0.6"/>
    <x v="1"/>
    <n v="9"/>
    <n v="5"/>
    <n v="5"/>
    <m/>
    <m/>
    <m/>
    <m/>
    <m/>
    <m/>
    <m/>
    <m/>
    <m/>
    <m/>
    <m/>
    <m/>
    <m/>
    <m/>
    <m/>
    <m/>
  </r>
  <r>
    <n v="18"/>
    <x v="0"/>
    <x v="36"/>
    <x v="1"/>
    <x v="40"/>
    <n v="0.9"/>
    <n v="2.62"/>
    <n v="2"/>
    <x v="1"/>
    <n v="3"/>
    <n v="1"/>
    <n v="9"/>
    <m/>
    <m/>
    <m/>
    <m/>
    <m/>
    <m/>
    <m/>
    <m/>
    <m/>
    <m/>
    <m/>
    <m/>
    <m/>
    <m/>
    <m/>
    <m/>
  </r>
  <r>
    <n v="14"/>
    <x v="0"/>
    <x v="56"/>
    <x v="0"/>
    <x v="33"/>
    <n v="1.1000000000000001"/>
    <n v="3.03"/>
    <n v="1.6"/>
    <x v="2"/>
    <n v="5"/>
    <n v="6"/>
    <n v="7"/>
    <m/>
    <m/>
    <m/>
    <m/>
    <m/>
    <m/>
    <m/>
    <m/>
    <m/>
    <m/>
    <m/>
    <m/>
    <m/>
    <m/>
    <m/>
    <m/>
  </r>
  <r>
    <n v="14"/>
    <x v="0"/>
    <x v="56"/>
    <x v="1"/>
    <x v="8"/>
    <n v="1.4"/>
    <n v="2.96"/>
    <n v="1.1000000000000001"/>
    <x v="0"/>
    <n v="7"/>
    <n v="1"/>
    <n v="9"/>
    <m/>
    <m/>
    <m/>
    <m/>
    <m/>
    <m/>
    <m/>
    <m/>
    <m/>
    <m/>
    <m/>
    <m/>
    <m/>
    <m/>
    <m/>
    <m/>
  </r>
  <r>
    <n v="16"/>
    <x v="0"/>
    <x v="55"/>
    <x v="1"/>
    <x v="12"/>
    <n v="1.3"/>
    <n v="3.84"/>
    <n v="1.6"/>
    <x v="2"/>
    <n v="3"/>
    <n v="4"/>
    <n v="10"/>
    <m/>
    <m/>
    <m/>
    <m/>
    <m/>
    <m/>
    <m/>
    <m/>
    <m/>
    <m/>
    <m/>
    <m/>
    <m/>
    <m/>
    <m/>
    <m/>
  </r>
  <r>
    <n v="15"/>
    <x v="1"/>
    <x v="43"/>
    <x v="1"/>
    <x v="36"/>
    <n v="0.7"/>
    <n v="2.94"/>
    <n v="0.7"/>
    <x v="1"/>
    <n v="10"/>
    <n v="7"/>
    <n v="9"/>
    <m/>
    <m/>
    <m/>
    <m/>
    <m/>
    <m/>
    <m/>
    <m/>
    <m/>
    <m/>
    <m/>
    <m/>
    <m/>
    <m/>
    <m/>
    <m/>
  </r>
  <r>
    <n v="14"/>
    <x v="0"/>
    <x v="5"/>
    <x v="2"/>
    <x v="14"/>
    <n v="2.4"/>
    <n v="3.87"/>
    <n v="1.3"/>
    <x v="1"/>
    <n v="10"/>
    <n v="9"/>
    <n v="6"/>
    <m/>
    <m/>
    <m/>
    <m/>
    <m/>
    <m/>
    <m/>
    <m/>
    <m/>
    <m/>
    <m/>
    <m/>
    <m/>
    <m/>
    <m/>
    <m/>
  </r>
  <r>
    <n v="19"/>
    <x v="1"/>
    <x v="19"/>
    <x v="0"/>
    <x v="6"/>
    <n v="0.9"/>
    <n v="2.4700000000000002"/>
    <n v="1.2"/>
    <x v="1"/>
    <n v="7"/>
    <n v="3"/>
    <n v="4"/>
    <m/>
    <m/>
    <m/>
    <m/>
    <m/>
    <m/>
    <m/>
    <m/>
    <m/>
    <m/>
    <m/>
    <m/>
    <m/>
    <m/>
    <m/>
    <m/>
  </r>
  <r>
    <n v="16"/>
    <x v="0"/>
    <x v="58"/>
    <x v="0"/>
    <x v="26"/>
    <n v="1.5"/>
    <n v="2.84"/>
    <n v="0.3"/>
    <x v="1"/>
    <n v="6"/>
    <n v="4"/>
    <n v="3"/>
    <m/>
    <m/>
    <m/>
    <m/>
    <m/>
    <m/>
    <m/>
    <m/>
    <m/>
    <m/>
    <m/>
    <m/>
    <m/>
    <m/>
    <m/>
    <m/>
  </r>
  <r>
    <n v="13"/>
    <x v="1"/>
    <x v="40"/>
    <x v="0"/>
    <x v="8"/>
    <n v="0.7"/>
    <n v="2.98"/>
    <n v="0.3"/>
    <x v="2"/>
    <n v="10"/>
    <n v="8"/>
    <n v="3"/>
    <m/>
    <m/>
    <m/>
    <m/>
    <m/>
    <m/>
    <m/>
    <m/>
    <m/>
    <m/>
    <m/>
    <m/>
    <m/>
    <m/>
    <m/>
    <m/>
  </r>
  <r>
    <n v="13"/>
    <x v="0"/>
    <x v="59"/>
    <x v="1"/>
    <x v="48"/>
    <n v="0.6"/>
    <n v="2.7"/>
    <n v="1.8"/>
    <x v="2"/>
    <n v="5"/>
    <n v="4"/>
    <n v="1"/>
    <m/>
    <m/>
    <m/>
    <m/>
    <m/>
    <m/>
    <m/>
    <m/>
    <m/>
    <m/>
    <m/>
    <m/>
    <m/>
    <m/>
    <m/>
    <m/>
  </r>
  <r>
    <n v="16"/>
    <x v="0"/>
    <x v="13"/>
    <x v="2"/>
    <x v="48"/>
    <n v="1.9"/>
    <n v="2.11"/>
    <n v="1.7"/>
    <x v="0"/>
    <n v="9"/>
    <n v="5"/>
    <n v="2"/>
    <m/>
    <m/>
    <m/>
    <m/>
    <m/>
    <m/>
    <m/>
    <m/>
    <m/>
    <m/>
    <m/>
    <m/>
    <m/>
    <m/>
    <m/>
    <m/>
  </r>
  <r>
    <n v="15"/>
    <x v="0"/>
    <x v="60"/>
    <x v="0"/>
    <x v="2"/>
    <n v="2.7"/>
    <n v="2.36"/>
    <n v="1.2"/>
    <x v="2"/>
    <n v="5"/>
    <n v="10"/>
    <n v="3"/>
    <m/>
    <m/>
    <m/>
    <m/>
    <m/>
    <m/>
    <m/>
    <m/>
    <m/>
    <m/>
    <m/>
    <m/>
    <m/>
    <m/>
    <m/>
    <m/>
  </r>
  <r>
    <n v="19"/>
    <x v="0"/>
    <x v="2"/>
    <x v="0"/>
    <x v="34"/>
    <n v="0.7"/>
    <n v="2.5099999999999998"/>
    <n v="0.8"/>
    <x v="0"/>
    <n v="10"/>
    <n v="9"/>
    <n v="7"/>
    <m/>
    <m/>
    <m/>
    <m/>
    <m/>
    <m/>
    <m/>
    <m/>
    <m/>
    <m/>
    <m/>
    <m/>
    <m/>
    <m/>
    <m/>
    <m/>
  </r>
  <r>
    <n v="17"/>
    <x v="1"/>
    <x v="56"/>
    <x v="2"/>
    <x v="22"/>
    <n v="2.1"/>
    <n v="3.29"/>
    <n v="1.5"/>
    <x v="0"/>
    <n v="8"/>
    <n v="1"/>
    <n v="7"/>
    <m/>
    <m/>
    <m/>
    <m/>
    <m/>
    <m/>
    <m/>
    <m/>
    <m/>
    <m/>
    <m/>
    <m/>
    <m/>
    <m/>
    <m/>
    <m/>
  </r>
  <r>
    <n v="15"/>
    <x v="1"/>
    <x v="26"/>
    <x v="2"/>
    <x v="28"/>
    <n v="1.9"/>
    <n v="2.14"/>
    <n v="0.4"/>
    <x v="1"/>
    <n v="8"/>
    <n v="10"/>
    <n v="3"/>
    <m/>
    <m/>
    <m/>
    <m/>
    <m/>
    <m/>
    <m/>
    <m/>
    <m/>
    <m/>
    <m/>
    <m/>
    <m/>
    <m/>
    <m/>
    <m/>
  </r>
  <r>
    <n v="13"/>
    <x v="0"/>
    <x v="41"/>
    <x v="2"/>
    <x v="1"/>
    <n v="2"/>
    <n v="3.25"/>
    <n v="0.7"/>
    <x v="2"/>
    <n v="9"/>
    <n v="10"/>
    <n v="2"/>
    <m/>
    <m/>
    <m/>
    <m/>
    <m/>
    <m/>
    <m/>
    <m/>
    <m/>
    <m/>
    <m/>
    <m/>
    <m/>
    <m/>
    <m/>
    <m/>
  </r>
  <r>
    <n v="16"/>
    <x v="1"/>
    <x v="61"/>
    <x v="2"/>
    <x v="28"/>
    <n v="1.7"/>
    <n v="3.55"/>
    <n v="1.3"/>
    <x v="2"/>
    <n v="6"/>
    <n v="10"/>
    <n v="9"/>
    <m/>
    <m/>
    <m/>
    <m/>
    <m/>
    <m/>
    <m/>
    <m/>
    <m/>
    <m/>
    <m/>
    <m/>
    <m/>
    <m/>
    <m/>
    <m/>
  </r>
  <r>
    <n v="19"/>
    <x v="0"/>
    <x v="22"/>
    <x v="2"/>
    <x v="0"/>
    <n v="1.2"/>
    <n v="2.5"/>
    <n v="1.8"/>
    <x v="1"/>
    <n v="2"/>
    <n v="5"/>
    <n v="2"/>
    <m/>
    <m/>
    <m/>
    <m/>
    <m/>
    <m/>
    <m/>
    <m/>
    <m/>
    <m/>
    <m/>
    <m/>
    <m/>
    <m/>
    <m/>
    <m/>
  </r>
  <r>
    <n v="19"/>
    <x v="0"/>
    <x v="23"/>
    <x v="1"/>
    <x v="14"/>
    <n v="1.7"/>
    <n v="2.91"/>
    <n v="0.8"/>
    <x v="0"/>
    <n v="9"/>
    <n v="5"/>
    <n v="9"/>
    <m/>
    <m/>
    <m/>
    <m/>
    <m/>
    <m/>
    <m/>
    <m/>
    <m/>
    <m/>
    <m/>
    <m/>
    <m/>
    <m/>
    <m/>
    <m/>
  </r>
  <r>
    <n v="15"/>
    <x v="1"/>
    <x v="53"/>
    <x v="1"/>
    <x v="14"/>
    <n v="0.5"/>
    <n v="2.3199999999999998"/>
    <n v="0.8"/>
    <x v="0"/>
    <n v="8"/>
    <n v="9"/>
    <n v="3"/>
    <m/>
    <m/>
    <m/>
    <m/>
    <m/>
    <m/>
    <m/>
    <m/>
    <m/>
    <m/>
    <m/>
    <m/>
    <m/>
    <m/>
    <m/>
    <m/>
  </r>
  <r>
    <n v="16"/>
    <x v="1"/>
    <x v="11"/>
    <x v="1"/>
    <x v="11"/>
    <n v="2.5"/>
    <n v="3.61"/>
    <n v="0.5"/>
    <x v="2"/>
    <n v="10"/>
    <n v="1"/>
    <n v="9"/>
    <m/>
    <m/>
    <m/>
    <m/>
    <m/>
    <m/>
    <m/>
    <m/>
    <m/>
    <m/>
    <m/>
    <m/>
    <m/>
    <m/>
    <m/>
    <m/>
  </r>
  <r>
    <n v="17"/>
    <x v="0"/>
    <x v="48"/>
    <x v="0"/>
    <x v="17"/>
    <n v="2.6"/>
    <n v="3.06"/>
    <n v="0.1"/>
    <x v="1"/>
    <n v="9"/>
    <n v="2"/>
    <n v="6"/>
    <m/>
    <m/>
    <m/>
    <m/>
    <m/>
    <m/>
    <m/>
    <m/>
    <m/>
    <m/>
    <m/>
    <m/>
    <m/>
    <m/>
    <m/>
    <m/>
  </r>
  <r>
    <n v="13"/>
    <x v="1"/>
    <x v="32"/>
    <x v="2"/>
    <x v="48"/>
    <n v="2.7"/>
    <n v="3.68"/>
    <n v="1.9"/>
    <x v="0"/>
    <n v="6"/>
    <n v="6"/>
    <n v="10"/>
    <m/>
    <m/>
    <m/>
    <m/>
    <m/>
    <m/>
    <m/>
    <m/>
    <m/>
    <m/>
    <m/>
    <m/>
    <m/>
    <m/>
    <m/>
    <m/>
  </r>
  <r>
    <n v="15"/>
    <x v="1"/>
    <x v="14"/>
    <x v="2"/>
    <x v="19"/>
    <n v="1.2"/>
    <n v="2.52"/>
    <n v="0.1"/>
    <x v="0"/>
    <n v="9"/>
    <n v="7"/>
    <n v="2"/>
    <m/>
    <m/>
    <m/>
    <m/>
    <m/>
    <m/>
    <m/>
    <m/>
    <m/>
    <m/>
    <m/>
    <m/>
    <m/>
    <m/>
    <m/>
    <m/>
  </r>
  <r>
    <n v="15"/>
    <x v="1"/>
    <x v="18"/>
    <x v="0"/>
    <x v="8"/>
    <n v="1.8"/>
    <n v="3.2"/>
    <n v="1.5"/>
    <x v="2"/>
    <n v="4"/>
    <n v="5"/>
    <n v="1"/>
    <m/>
    <m/>
    <m/>
    <m/>
    <m/>
    <m/>
    <m/>
    <m/>
    <m/>
    <m/>
    <m/>
    <m/>
    <m/>
    <m/>
    <m/>
    <m/>
  </r>
  <r>
    <n v="15"/>
    <x v="0"/>
    <x v="32"/>
    <x v="2"/>
    <x v="30"/>
    <n v="2.6"/>
    <n v="3.81"/>
    <n v="1.5"/>
    <x v="0"/>
    <n v="4"/>
    <n v="7"/>
    <n v="4"/>
    <m/>
    <m/>
    <m/>
    <m/>
    <m/>
    <m/>
    <m/>
    <m/>
    <m/>
    <m/>
    <m/>
    <m/>
    <m/>
    <m/>
    <m/>
    <m/>
  </r>
  <r>
    <n v="13"/>
    <x v="1"/>
    <x v="1"/>
    <x v="1"/>
    <x v="33"/>
    <n v="0.8"/>
    <n v="3.33"/>
    <n v="1.3"/>
    <x v="2"/>
    <n v="5"/>
    <n v="1"/>
    <n v="3"/>
    <m/>
    <m/>
    <m/>
    <m/>
    <m/>
    <m/>
    <m/>
    <m/>
    <m/>
    <m/>
    <m/>
    <m/>
    <m/>
    <m/>
    <m/>
    <m/>
  </r>
  <r>
    <n v="17"/>
    <x v="1"/>
    <x v="40"/>
    <x v="0"/>
    <x v="36"/>
    <n v="1.3"/>
    <n v="3.21"/>
    <n v="1.8"/>
    <x v="2"/>
    <n v="3"/>
    <n v="7"/>
    <n v="7"/>
    <m/>
    <m/>
    <m/>
    <m/>
    <m/>
    <m/>
    <m/>
    <m/>
    <m/>
    <m/>
    <m/>
    <m/>
    <m/>
    <m/>
    <m/>
    <m/>
  </r>
  <r>
    <n v="18"/>
    <x v="0"/>
    <x v="2"/>
    <x v="0"/>
    <x v="9"/>
    <n v="1.3"/>
    <n v="3.35"/>
    <n v="1.9"/>
    <x v="2"/>
    <n v="9"/>
    <n v="4"/>
    <n v="9"/>
    <m/>
    <m/>
    <m/>
    <m/>
    <m/>
    <m/>
    <m/>
    <m/>
    <m/>
    <m/>
    <m/>
    <m/>
    <m/>
    <m/>
    <m/>
    <m/>
  </r>
  <r>
    <n v="19"/>
    <x v="0"/>
    <x v="4"/>
    <x v="1"/>
    <x v="36"/>
    <n v="1.8"/>
    <n v="2.2599999999999998"/>
    <n v="1"/>
    <x v="0"/>
    <n v="7"/>
    <n v="4"/>
    <n v="7"/>
    <m/>
    <m/>
    <m/>
    <m/>
    <m/>
    <m/>
    <m/>
    <m/>
    <m/>
    <m/>
    <m/>
    <m/>
    <m/>
    <m/>
    <m/>
    <m/>
  </r>
  <r>
    <n v="15"/>
    <x v="0"/>
    <x v="1"/>
    <x v="1"/>
    <x v="9"/>
    <n v="2.2999999999999998"/>
    <n v="2.4700000000000002"/>
    <n v="0.3"/>
    <x v="1"/>
    <n v="10"/>
    <n v="9"/>
    <n v="4"/>
    <m/>
    <m/>
    <m/>
    <m/>
    <m/>
    <m/>
    <m/>
    <m/>
    <m/>
    <m/>
    <m/>
    <m/>
    <m/>
    <m/>
    <m/>
    <m/>
  </r>
  <r>
    <n v="18"/>
    <x v="1"/>
    <x v="59"/>
    <x v="2"/>
    <x v="32"/>
    <n v="1.6"/>
    <n v="2.5499999999999998"/>
    <n v="0.5"/>
    <x v="2"/>
    <n v="10"/>
    <n v="1"/>
    <n v="8"/>
    <m/>
    <m/>
    <m/>
    <m/>
    <m/>
    <m/>
    <m/>
    <m/>
    <m/>
    <m/>
    <m/>
    <m/>
    <m/>
    <m/>
    <m/>
    <m/>
  </r>
  <r>
    <n v="15"/>
    <x v="0"/>
    <x v="10"/>
    <x v="1"/>
    <x v="32"/>
    <n v="1.7"/>
    <n v="2.2599999999999998"/>
    <n v="1.1000000000000001"/>
    <x v="1"/>
    <n v="9"/>
    <n v="6"/>
    <n v="2"/>
    <m/>
    <m/>
    <m/>
    <m/>
    <m/>
    <m/>
    <m/>
    <m/>
    <m/>
    <m/>
    <m/>
    <m/>
    <m/>
    <m/>
    <m/>
    <m/>
  </r>
  <r>
    <n v="14"/>
    <x v="0"/>
    <x v="50"/>
    <x v="1"/>
    <x v="1"/>
    <n v="1.3"/>
    <n v="2.5"/>
    <n v="1.1000000000000001"/>
    <x v="1"/>
    <n v="2"/>
    <n v="7"/>
    <n v="5"/>
    <m/>
    <m/>
    <m/>
    <m/>
    <m/>
    <m/>
    <m/>
    <m/>
    <m/>
    <m/>
    <m/>
    <m/>
    <m/>
    <m/>
    <m/>
    <m/>
  </r>
  <r>
    <n v="18"/>
    <x v="1"/>
    <x v="34"/>
    <x v="2"/>
    <x v="47"/>
    <n v="1.4"/>
    <n v="2.38"/>
    <n v="0.1"/>
    <x v="1"/>
    <n v="7"/>
    <n v="9"/>
    <n v="1"/>
    <m/>
    <m/>
    <m/>
    <m/>
    <m/>
    <m/>
    <m/>
    <m/>
    <m/>
    <m/>
    <m/>
    <m/>
    <m/>
    <m/>
    <m/>
    <m/>
  </r>
  <r>
    <n v="14"/>
    <x v="1"/>
    <x v="43"/>
    <x v="2"/>
    <x v="15"/>
    <n v="2.5"/>
    <n v="2.8"/>
    <n v="1.8"/>
    <x v="1"/>
    <n v="4"/>
    <n v="10"/>
    <n v="3"/>
    <m/>
    <m/>
    <m/>
    <m/>
    <m/>
    <m/>
    <m/>
    <m/>
    <m/>
    <m/>
    <m/>
    <m/>
    <m/>
    <m/>
    <m/>
    <m/>
  </r>
  <r>
    <n v="13"/>
    <x v="0"/>
    <x v="62"/>
    <x v="0"/>
    <x v="1"/>
    <n v="2.8"/>
    <n v="3.21"/>
    <n v="1.6"/>
    <x v="2"/>
    <n v="2"/>
    <n v="8"/>
    <n v="8"/>
    <m/>
    <m/>
    <m/>
    <m/>
    <m/>
    <m/>
    <m/>
    <m/>
    <m/>
    <m/>
    <m/>
    <m/>
    <m/>
    <m/>
    <m/>
    <m/>
  </r>
  <r>
    <n v="17"/>
    <x v="0"/>
    <x v="49"/>
    <x v="2"/>
    <x v="8"/>
    <n v="2.2000000000000002"/>
    <n v="3.58"/>
    <n v="1.2"/>
    <x v="1"/>
    <n v="6"/>
    <n v="3"/>
    <n v="9"/>
    <m/>
    <m/>
    <m/>
    <m/>
    <m/>
    <m/>
    <m/>
    <m/>
    <m/>
    <m/>
    <m/>
    <m/>
    <m/>
    <m/>
    <m/>
    <m/>
  </r>
  <r>
    <n v="15"/>
    <x v="0"/>
    <x v="25"/>
    <x v="0"/>
    <x v="3"/>
    <n v="2.2999999999999998"/>
    <n v="3.16"/>
    <n v="0.9"/>
    <x v="2"/>
    <n v="3"/>
    <n v="1"/>
    <n v="5"/>
    <m/>
    <m/>
    <m/>
    <m/>
    <m/>
    <m/>
    <m/>
    <m/>
    <m/>
    <m/>
    <m/>
    <m/>
    <m/>
    <m/>
    <m/>
    <m/>
  </r>
  <r>
    <n v="15"/>
    <x v="1"/>
    <x v="8"/>
    <x v="1"/>
    <x v="1"/>
    <n v="1.4"/>
    <n v="3.64"/>
    <n v="0.4"/>
    <x v="2"/>
    <n v="10"/>
    <n v="5"/>
    <n v="7"/>
    <m/>
    <m/>
    <m/>
    <m/>
    <m/>
    <m/>
    <m/>
    <m/>
    <m/>
    <m/>
    <m/>
    <m/>
    <m/>
    <m/>
    <m/>
    <m/>
  </r>
  <r>
    <n v="17"/>
    <x v="1"/>
    <x v="63"/>
    <x v="0"/>
    <x v="3"/>
    <n v="2.4"/>
    <n v="3.06"/>
    <n v="1.9"/>
    <x v="2"/>
    <n v="4"/>
    <n v="10"/>
    <n v="8"/>
    <m/>
    <m/>
    <m/>
    <m/>
    <m/>
    <m/>
    <m/>
    <m/>
    <m/>
    <m/>
    <m/>
    <m/>
    <m/>
    <m/>
    <m/>
    <m/>
  </r>
  <r>
    <n v="17"/>
    <x v="1"/>
    <x v="24"/>
    <x v="0"/>
    <x v="1"/>
    <n v="2.2000000000000002"/>
    <n v="2.21"/>
    <n v="1"/>
    <x v="1"/>
    <n v="10"/>
    <n v="8"/>
    <n v="10"/>
    <m/>
    <m/>
    <m/>
    <m/>
    <m/>
    <m/>
    <m/>
    <m/>
    <m/>
    <m/>
    <m/>
    <m/>
    <m/>
    <m/>
    <m/>
    <m/>
  </r>
  <r>
    <n v="15"/>
    <x v="1"/>
    <x v="35"/>
    <x v="0"/>
    <x v="32"/>
    <n v="0.8"/>
    <n v="2.71"/>
    <n v="1.8"/>
    <x v="1"/>
    <n v="7"/>
    <n v="4"/>
    <n v="2"/>
    <m/>
    <m/>
    <m/>
    <m/>
    <m/>
    <m/>
    <m/>
    <m/>
    <m/>
    <m/>
    <m/>
    <m/>
    <m/>
    <m/>
    <m/>
    <m/>
  </r>
  <r>
    <n v="17"/>
    <x v="1"/>
    <x v="45"/>
    <x v="2"/>
    <x v="32"/>
    <n v="2.8"/>
    <n v="3.06"/>
    <n v="0.8"/>
    <x v="0"/>
    <n v="3"/>
    <n v="7"/>
    <n v="9"/>
    <m/>
    <m/>
    <m/>
    <m/>
    <m/>
    <m/>
    <m/>
    <m/>
    <m/>
    <m/>
    <m/>
    <m/>
    <m/>
    <m/>
    <m/>
    <m/>
  </r>
  <r>
    <n v="16"/>
    <x v="1"/>
    <x v="64"/>
    <x v="2"/>
    <x v="23"/>
    <n v="1.1000000000000001"/>
    <n v="3.1"/>
    <n v="1.6"/>
    <x v="2"/>
    <n v="1"/>
    <n v="6"/>
    <n v="2"/>
    <m/>
    <m/>
    <m/>
    <m/>
    <m/>
    <m/>
    <m/>
    <m/>
    <m/>
    <m/>
    <m/>
    <m/>
    <m/>
    <m/>
    <m/>
    <m/>
  </r>
  <r>
    <n v="13"/>
    <x v="0"/>
    <x v="5"/>
    <x v="0"/>
    <x v="49"/>
    <n v="1.6"/>
    <n v="2.91"/>
    <n v="0.6"/>
    <x v="1"/>
    <n v="10"/>
    <n v="2"/>
    <n v="6"/>
    <m/>
    <m/>
    <m/>
    <m/>
    <m/>
    <m/>
    <m/>
    <m/>
    <m/>
    <m/>
    <m/>
    <m/>
    <m/>
    <m/>
    <m/>
    <m/>
  </r>
  <r>
    <n v="16"/>
    <x v="1"/>
    <x v="55"/>
    <x v="1"/>
    <x v="41"/>
    <n v="3"/>
    <n v="2.1"/>
    <n v="0.2"/>
    <x v="0"/>
    <n v="7"/>
    <n v="9"/>
    <n v="1"/>
    <m/>
    <m/>
    <m/>
    <m/>
    <m/>
    <m/>
    <m/>
    <m/>
    <m/>
    <m/>
    <m/>
    <m/>
    <m/>
    <m/>
    <m/>
    <m/>
  </r>
  <r>
    <n v="13"/>
    <x v="0"/>
    <x v="47"/>
    <x v="0"/>
    <x v="48"/>
    <n v="1.2"/>
    <n v="3.67"/>
    <n v="0.1"/>
    <x v="2"/>
    <n v="2"/>
    <n v="8"/>
    <n v="9"/>
    <m/>
    <m/>
    <m/>
    <m/>
    <m/>
    <m/>
    <m/>
    <m/>
    <m/>
    <m/>
    <m/>
    <m/>
    <m/>
    <m/>
    <m/>
    <m/>
  </r>
  <r>
    <n v="14"/>
    <x v="0"/>
    <x v="45"/>
    <x v="0"/>
    <x v="21"/>
    <n v="1.8"/>
    <n v="3.01"/>
    <n v="0.9"/>
    <x v="0"/>
    <n v="10"/>
    <n v="6"/>
    <n v="8"/>
    <m/>
    <m/>
    <m/>
    <m/>
    <m/>
    <m/>
    <m/>
    <m/>
    <m/>
    <m/>
    <m/>
    <m/>
    <m/>
    <m/>
    <m/>
    <m/>
  </r>
  <r>
    <n v="14"/>
    <x v="1"/>
    <x v="51"/>
    <x v="0"/>
    <x v="15"/>
    <n v="0.8"/>
    <n v="3.47"/>
    <n v="1.5"/>
    <x v="2"/>
    <n v="9"/>
    <n v="10"/>
    <n v="9"/>
    <m/>
    <m/>
    <m/>
    <m/>
    <m/>
    <m/>
    <m/>
    <m/>
    <m/>
    <m/>
    <m/>
    <m/>
    <m/>
    <m/>
    <m/>
    <m/>
  </r>
  <r>
    <n v="18"/>
    <x v="1"/>
    <x v="19"/>
    <x v="0"/>
    <x v="1"/>
    <n v="1.7"/>
    <n v="2.29"/>
    <n v="1.4"/>
    <x v="0"/>
    <n v="2"/>
    <n v="1"/>
    <n v="10"/>
    <m/>
    <m/>
    <m/>
    <m/>
    <m/>
    <m/>
    <m/>
    <m/>
    <m/>
    <m/>
    <m/>
    <m/>
    <m/>
    <m/>
    <m/>
    <m/>
  </r>
  <r>
    <n v="15"/>
    <x v="1"/>
    <x v="24"/>
    <x v="2"/>
    <x v="4"/>
    <n v="3"/>
    <n v="2.99"/>
    <n v="0.9"/>
    <x v="2"/>
    <n v="4"/>
    <n v="8"/>
    <n v="3"/>
    <m/>
    <m/>
    <m/>
    <m/>
    <m/>
    <m/>
    <m/>
    <m/>
    <m/>
    <m/>
    <m/>
    <m/>
    <m/>
    <m/>
    <m/>
    <m/>
  </r>
  <r>
    <n v="16"/>
    <x v="0"/>
    <x v="21"/>
    <x v="2"/>
    <x v="29"/>
    <n v="0.8"/>
    <n v="3.18"/>
    <n v="1.7"/>
    <x v="2"/>
    <n v="5"/>
    <n v="3"/>
    <n v="8"/>
    <m/>
    <m/>
    <m/>
    <m/>
    <m/>
    <m/>
    <m/>
    <m/>
    <m/>
    <m/>
    <m/>
    <m/>
    <m/>
    <m/>
    <m/>
    <m/>
  </r>
  <r>
    <n v="17"/>
    <x v="1"/>
    <x v="41"/>
    <x v="0"/>
    <x v="13"/>
    <n v="2.9"/>
    <n v="3.71"/>
    <n v="1.7"/>
    <x v="0"/>
    <n v="3"/>
    <n v="1"/>
    <n v="10"/>
    <m/>
    <m/>
    <m/>
    <m/>
    <m/>
    <m/>
    <m/>
    <m/>
    <m/>
    <m/>
    <m/>
    <m/>
    <m/>
    <m/>
    <m/>
    <m/>
  </r>
  <r>
    <n v="18"/>
    <x v="0"/>
    <x v="38"/>
    <x v="0"/>
    <x v="1"/>
    <n v="2.9"/>
    <n v="2.59"/>
    <n v="1.2"/>
    <x v="1"/>
    <n v="10"/>
    <n v="8"/>
    <n v="5"/>
    <m/>
    <m/>
    <m/>
    <m/>
    <m/>
    <m/>
    <m/>
    <m/>
    <m/>
    <m/>
    <m/>
    <m/>
    <m/>
    <m/>
    <m/>
    <m/>
  </r>
  <r>
    <n v="17"/>
    <x v="1"/>
    <x v="65"/>
    <x v="2"/>
    <x v="32"/>
    <n v="1.5"/>
    <n v="2.66"/>
    <n v="1.8"/>
    <x v="0"/>
    <n v="1"/>
    <n v="4"/>
    <n v="10"/>
    <m/>
    <m/>
    <m/>
    <m/>
    <m/>
    <m/>
    <m/>
    <m/>
    <m/>
    <m/>
    <m/>
    <m/>
    <m/>
    <m/>
    <m/>
    <m/>
  </r>
  <r>
    <m/>
    <x v="2"/>
    <x v="66"/>
    <x v="3"/>
    <x v="50"/>
    <m/>
    <m/>
    <m/>
    <x v="3"/>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A7ED2F-BE8C-41E3-A5FF-FE8599DC58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7" firstHeaderRow="1" firstDataRow="1" firstDataCol="1"/>
  <pivotFields count="28">
    <pivotField showAll="0"/>
    <pivotField showAll="0"/>
    <pivotField showAll="0"/>
    <pivotField axis="axisRow" showAll="0">
      <items count="5">
        <item x="2"/>
        <item x="0"/>
        <item x="1"/>
        <item x="3"/>
        <item t="default"/>
      </items>
    </pivotField>
    <pivotField showAll="0">
      <items count="52">
        <item h="1" x="25"/>
        <item h="1" x="29"/>
        <item h="1" x="7"/>
        <item h="1" x="39"/>
        <item h="1" x="5"/>
        <item h="1" x="34"/>
        <item h="1" x="17"/>
        <item h="1" x="10"/>
        <item h="1" x="30"/>
        <item h="1" x="4"/>
        <item h="1" x="8"/>
        <item h="1" x="31"/>
        <item h="1" x="42"/>
        <item h="1" x="14"/>
        <item h="1" x="44"/>
        <item h="1" x="24"/>
        <item h="1" x="21"/>
        <item h="1" x="12"/>
        <item h="1" x="9"/>
        <item h="1" x="13"/>
        <item h="1" x="41"/>
        <item h="1" x="15"/>
        <item h="1" x="32"/>
        <item h="1" x="6"/>
        <item h="1" x="35"/>
        <item h="1" x="45"/>
        <item h="1" x="18"/>
        <item h="1" x="16"/>
        <item h="1" x="3"/>
        <item h="1" x="37"/>
        <item h="1" x="20"/>
        <item h="1" x="11"/>
        <item h="1" x="23"/>
        <item h="1" x="0"/>
        <item h="1" x="40"/>
        <item h="1" x="2"/>
        <item h="1" x="27"/>
        <item h="1" x="22"/>
        <item h="1" x="47"/>
        <item h="1" x="1"/>
        <item h="1" x="46"/>
        <item h="1" x="36"/>
        <item h="1" x="49"/>
        <item h="1" x="38"/>
        <item h="1" x="33"/>
        <item h="1" x="26"/>
        <item h="1" x="19"/>
        <item h="1" x="28"/>
        <item x="48"/>
        <item h="1" x="43"/>
        <item h="1" x="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Screen_Time_Before_Sleep" fld="5" subtotal="average" baseField="3"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7C9A4D-29D5-4543-BEF5-5833ABFE14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18" firstHeaderRow="0" firstDataRow="1" firstDataCol="1"/>
  <pivotFields count="28">
    <pivotField dataField="1" showAll="0"/>
    <pivotField showAll="0">
      <items count="4">
        <item x="1"/>
        <item x="0"/>
        <item x="2"/>
        <item t="default"/>
      </items>
    </pivotField>
    <pivotField showAll="0"/>
    <pivotField axis="axisRow" showAll="0">
      <items count="5">
        <item x="2"/>
        <item x="0"/>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of Age" fld="0" subtotal="average" baseField="3" baseItem="0"/>
    <dataField name="Average of Academic_Performance" fld="6" subtotal="average" baseField="3"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FF8B5-04B3-4AA8-B1CE-08979FE17B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8" firstHeaderRow="0" firstDataRow="1" firstDataCol="1"/>
  <pivotFields count="28">
    <pivotField showAll="0"/>
    <pivotField showAll="0"/>
    <pivotField dataField="1" showAll="0"/>
    <pivotField axis="axisRow" showAll="0">
      <items count="5">
        <item x="2"/>
        <item x="0"/>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of Sleep_Hours" fld="4" subtotal="average" baseField="3" baseItem="3"/>
    <dataField name="Average of Daily_Social_Media_Hours" fld="2" subtotal="average" baseField="3" baseItem="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455660-C20B-4366-A9FC-1D985E1669E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C61" firstHeaderRow="0" firstDataRow="1" firstDataCol="1"/>
  <pivotFields count="28">
    <pivotField showAll="0"/>
    <pivotField showAll="0"/>
    <pivotField showAll="0"/>
    <pivotField axis="axisRow" showAll="0">
      <items count="5">
        <item x="2"/>
        <item x="0"/>
        <item x="1"/>
        <item x="3"/>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of Physical_Activity" fld="7" subtotal="average" baseField="3" baseItem="0"/>
    <dataField name="Average of Stress_Level" fld="9" subtotal="average" baseField="3"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ADBDDD-CECB-427F-813A-BEBE396902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2" firstHeaderRow="1" firstDataRow="1" firstDataCol="1"/>
  <pivotFields count="28">
    <pivotField showAll="0"/>
    <pivotField showAll="0"/>
    <pivotField showAll="0">
      <items count="68">
        <item x="43"/>
        <item x="17"/>
        <item x="2"/>
        <item x="63"/>
        <item x="14"/>
        <item x="25"/>
        <item x="65"/>
        <item x="47"/>
        <item x="1"/>
        <item x="23"/>
        <item x="56"/>
        <item x="21"/>
        <item x="22"/>
        <item x="5"/>
        <item x="44"/>
        <item x="26"/>
        <item x="36"/>
        <item x="58"/>
        <item x="15"/>
        <item x="50"/>
        <item x="7"/>
        <item x="18"/>
        <item x="35"/>
        <item x="13"/>
        <item x="55"/>
        <item x="40"/>
        <item x="6"/>
        <item x="19"/>
        <item x="64"/>
        <item x="39"/>
        <item x="57"/>
        <item x="34"/>
        <item x="28"/>
        <item x="4"/>
        <item x="29"/>
        <item x="9"/>
        <item x="27"/>
        <item x="49"/>
        <item x="33"/>
        <item x="20"/>
        <item x="45"/>
        <item x="46"/>
        <item x="12"/>
        <item x="37"/>
        <item x="62"/>
        <item x="54"/>
        <item x="61"/>
        <item x="10"/>
        <item x="30"/>
        <item x="31"/>
        <item x="52"/>
        <item x="24"/>
        <item x="16"/>
        <item x="11"/>
        <item x="42"/>
        <item x="59"/>
        <item x="38"/>
        <item x="8"/>
        <item x="32"/>
        <item x="3"/>
        <item x="41"/>
        <item x="60"/>
        <item x="51"/>
        <item x="53"/>
        <item x="0"/>
        <item x="48"/>
        <item x="66"/>
        <item t="default"/>
      </items>
    </pivotField>
    <pivotField axis="axisRow" showAll="0">
      <items count="5">
        <item x="2"/>
        <item x="0"/>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Average of Screen_Time_Before_Sleep" fld="5" subtotal="average" baseField="3"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F2D2E6-D60C-4BC2-B054-68483D1EEC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C39" firstHeaderRow="0" firstDataRow="1" firstDataCol="1"/>
  <pivotFields count="28">
    <pivotField showAll="0"/>
    <pivotField showAll="0"/>
    <pivotField dataField="1" showAll="0"/>
    <pivotField axis="axisRow" showAll="0">
      <items count="5">
        <item x="2"/>
        <item x="0"/>
        <item x="1"/>
        <item x="3"/>
        <item t="default"/>
      </items>
    </pivotField>
    <pivotField showAll="0"/>
    <pivotField showAll="0"/>
    <pivotField dataField="1" showAll="0"/>
    <pivotField showAll="0"/>
    <pivotField showAll="0">
      <items count="5">
        <item h="1" x="1"/>
        <item h="1" x="0"/>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Average of Daily_Social_Media_Hours" fld="2" subtotal="average" baseField="3" baseItem="3"/>
    <dataField name="Average of Academic_Performance" fld="6" subtotal="average" baseField="3"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1" xr10:uid="{C972C5B7-EE8E-47E8-BDDC-1A5C2B926A14}" sourceName="Platform_Usage">
  <pivotTables>
    <pivotTable tabId="6" name="PivotTable1"/>
  </pivotTables>
  <data>
    <tabular pivotCacheId="532024920">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9E5107D-A375-4470-93F7-454014990069}" sourceName="Gender">
  <pivotTables>
    <pivotTable tabId="6" name="PivotTable2"/>
  </pivotTables>
  <data>
    <tabular pivotCacheId="532024920">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Hours" xr10:uid="{AFC6265B-4BC9-4CDE-B8D5-CF8C4648CF11}" sourceName="Sleep_Hours">
  <pivotTables>
    <pivotTable tabId="6" name="PivotTable3"/>
  </pivotTables>
  <data>
    <tabular pivotCacheId="532024920">
      <items count="51">
        <i x="25"/>
        <i x="29"/>
        <i x="7"/>
        <i x="39"/>
        <i x="5"/>
        <i x="34"/>
        <i x="17"/>
        <i x="10"/>
        <i x="30"/>
        <i x="4"/>
        <i x="8"/>
        <i x="31"/>
        <i x="42"/>
        <i x="14"/>
        <i x="44"/>
        <i x="24"/>
        <i x="21"/>
        <i x="12"/>
        <i x="9"/>
        <i x="13"/>
        <i x="41"/>
        <i x="15"/>
        <i x="32"/>
        <i x="6"/>
        <i x="35"/>
        <i x="45"/>
        <i x="18"/>
        <i x="16"/>
        <i x="3"/>
        <i x="37"/>
        <i x="20"/>
        <i x="11"/>
        <i x="23"/>
        <i x="0"/>
        <i x="40"/>
        <i x="2"/>
        <i x="27"/>
        <i x="22"/>
        <i x="47"/>
        <i x="1"/>
        <i x="46"/>
        <i x="36"/>
        <i x="49"/>
        <i x="38"/>
        <i x="33"/>
        <i x="26"/>
        <i x="19"/>
        <i x="28"/>
        <i x="48" s="1"/>
        <i x="43"/>
        <i x="5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Interaction_Level" xr10:uid="{4E4680C4-A2B8-409D-8095-47BDBB0DEA12}" sourceName="Social_Interaction_Level">
  <pivotTables>
    <pivotTable tabId="6" name="PivotTable4"/>
  </pivotTables>
  <data>
    <tabular pivotCacheId="532024920">
      <items count="4">
        <i x="1"/>
        <i x="0"/>
        <i x="2" s="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ocial_Media_Hours" xr10:uid="{24892E4C-F115-4C6E-93D7-A64FF27AD079}" sourceName="Daily_Social_Media_Hours">
  <pivotTables>
    <pivotTable tabId="6" name="PivotTable5"/>
  </pivotTables>
  <data>
    <tabular pivotCacheId="532024920">
      <items count="67">
        <i x="43" s="1"/>
        <i x="17" s="1"/>
        <i x="2" s="1"/>
        <i x="63" s="1"/>
        <i x="14" s="1"/>
        <i x="25" s="1"/>
        <i x="65" s="1"/>
        <i x="47" s="1"/>
        <i x="1" s="1"/>
        <i x="23" s="1"/>
        <i x="56" s="1"/>
        <i x="21" s="1"/>
        <i x="22" s="1"/>
        <i x="5" s="1"/>
        <i x="44" s="1"/>
        <i x="26" s="1"/>
        <i x="36" s="1"/>
        <i x="58" s="1"/>
        <i x="15" s="1"/>
        <i x="50" s="1"/>
        <i x="7" s="1"/>
        <i x="18" s="1"/>
        <i x="35" s="1"/>
        <i x="13" s="1"/>
        <i x="55" s="1"/>
        <i x="40" s="1"/>
        <i x="6" s="1"/>
        <i x="19" s="1"/>
        <i x="64" s="1"/>
        <i x="39" s="1"/>
        <i x="57" s="1"/>
        <i x="34" s="1"/>
        <i x="28" s="1"/>
        <i x="4" s="1"/>
        <i x="29" s="1"/>
        <i x="9" s="1"/>
        <i x="27" s="1"/>
        <i x="49" s="1"/>
        <i x="33" s="1"/>
        <i x="20" s="1"/>
        <i x="45" s="1"/>
        <i x="46" s="1"/>
        <i x="12" s="1"/>
        <i x="37" s="1"/>
        <i x="62" s="1"/>
        <i x="54" s="1"/>
        <i x="61" s="1"/>
        <i x="10" s="1"/>
        <i x="30" s="1"/>
        <i x="31" s="1"/>
        <i x="52" s="1"/>
        <i x="24" s="1"/>
        <i x="16" s="1"/>
        <i x="11" s="1"/>
        <i x="42" s="1"/>
        <i x="59" s="1"/>
        <i x="38" s="1"/>
        <i x="8" s="1"/>
        <i x="32" s="1"/>
        <i x="3" s="1"/>
        <i x="41" s="1"/>
        <i x="60" s="1"/>
        <i x="51" s="1"/>
        <i x="53" s="1"/>
        <i x="0" s="1"/>
        <i x="48" s="1"/>
        <i x="6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_Usage" xr10:uid="{AFF12078-ACE8-4D40-877F-DDBDC844F94A}" cache="Slicer_Platform_Usage1" caption="Platform_Usage" rowHeight="234950"/>
  <slicer name="Gender" xr10:uid="{186B3C4B-D2AA-4FD5-BB64-EE4EE55C20DE}" cache="Slicer_Gender1" caption="Gender" rowHeight="234950"/>
  <slicer name="Sleep_Hours" xr10:uid="{FCCCD205-D992-41FA-99DC-F0575FC6F180}" cache="Slicer_Sleep_Hours" caption="Sleep_Hours" startItem="43" rowHeight="234950"/>
  <slicer name="Social_Interaction_Level" xr10:uid="{203FB7D7-4660-4304-96ED-724584C7FA92}" cache="Slicer_Social_Interaction_Level" caption="Social_Interaction_Level" rowHeight="234950"/>
  <slicer name="Daily_Social_Media_Hours" xr10:uid="{9F603464-EED6-44C1-A9E1-C3FFEA89626C}" cache="Slicer_Daily_Social_Media_Hours" caption="Daily_Social_Media_Hours" rowHeight="234950"/>
</slicers>
</file>

<file path=xl/theme/theme1.xml><?xml version="1.0" encoding="utf-8"?>
<a:theme xmlns:a="http://schemas.openxmlformats.org/drawingml/2006/main" name="Custom">
  <a:themeElements>
    <a:clrScheme name="Custom">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Custom">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29"/>
  <sheetViews>
    <sheetView zoomScale="67" zoomScaleNormal="81" workbookViewId="0">
      <selection activeCell="J26" sqref="J26"/>
    </sheetView>
  </sheetViews>
  <sheetFormatPr defaultColWidth="8.6640625" defaultRowHeight="14.4" x14ac:dyDescent="0.3"/>
  <cols>
    <col min="1" max="1" width="14.77734375"/>
    <col min="2" max="2" width="30.21875"/>
    <col min="3" max="3" width="21.77734375"/>
    <col min="7" max="7" width="14.77734375"/>
    <col min="8" max="8" width="26.44140625"/>
    <col min="9" max="9" width="21.77734375"/>
  </cols>
  <sheetData>
    <row r="3" spans="1:9" x14ac:dyDescent="0.3">
      <c r="A3" t="s">
        <v>12</v>
      </c>
      <c r="B3" t="s">
        <v>37</v>
      </c>
      <c r="C3" t="s">
        <v>9</v>
      </c>
      <c r="G3" t="s">
        <v>12</v>
      </c>
      <c r="H3" t="s">
        <v>37</v>
      </c>
      <c r="I3" t="s">
        <v>9</v>
      </c>
    </row>
    <row r="4" spans="1:9" x14ac:dyDescent="0.3">
      <c r="A4" s="1" t="s">
        <v>29</v>
      </c>
      <c r="B4" s="2">
        <v>6.60952380952381</v>
      </c>
      <c r="C4" s="2">
        <v>4.5349206349206348</v>
      </c>
      <c r="G4" s="1" t="s">
        <v>36</v>
      </c>
      <c r="H4" s="2">
        <v>6.7344444444444411</v>
      </c>
      <c r="I4" s="2">
        <v>4.3444444444444441</v>
      </c>
    </row>
    <row r="5" spans="1:9" x14ac:dyDescent="0.3">
      <c r="A5" s="1" t="s">
        <v>43</v>
      </c>
      <c r="B5" s="2">
        <v>6.4859154929577461</v>
      </c>
      <c r="C5" s="2">
        <v>4.4042253521126771</v>
      </c>
      <c r="G5" s="1" t="s">
        <v>44</v>
      </c>
      <c r="H5" s="2">
        <v>6.3590909090909085</v>
      </c>
      <c r="I5" s="2">
        <v>4.3481818181818186</v>
      </c>
    </row>
    <row r="6" spans="1:9" x14ac:dyDescent="0.3">
      <c r="A6" s="1" t="s">
        <v>32</v>
      </c>
      <c r="B6" s="2">
        <v>6.4954545454545443</v>
      </c>
      <c r="C6" s="2">
        <v>4.1045454545454545</v>
      </c>
      <c r="G6" s="1" t="s">
        <v>10</v>
      </c>
    </row>
    <row r="7" spans="1:9" x14ac:dyDescent="0.3">
      <c r="A7" s="1" t="s">
        <v>10</v>
      </c>
      <c r="B7" s="2"/>
      <c r="C7" s="2"/>
      <c r="G7" s="1" t="s">
        <v>18</v>
      </c>
      <c r="H7" s="2">
        <v>6.5279999999999996</v>
      </c>
      <c r="I7" s="2">
        <v>4.3465000000000007</v>
      </c>
    </row>
    <row r="8" spans="1:9" x14ac:dyDescent="0.3">
      <c r="A8" s="1" t="s">
        <v>18</v>
      </c>
      <c r="B8" s="2">
        <v>6.5280000000000022</v>
      </c>
      <c r="C8" s="2">
        <v>4.3464999999999989</v>
      </c>
    </row>
    <row r="25" spans="1:8" x14ac:dyDescent="0.3">
      <c r="A25" t="s">
        <v>12</v>
      </c>
      <c r="B25" t="s">
        <v>7</v>
      </c>
      <c r="G25" t="s">
        <v>12</v>
      </c>
      <c r="H25" t="s">
        <v>31</v>
      </c>
    </row>
    <row r="26" spans="1:8" x14ac:dyDescent="0.3">
      <c r="A26" s="1" t="s">
        <v>36</v>
      </c>
      <c r="B26" s="2">
        <v>5.7111111111111112</v>
      </c>
      <c r="G26" s="1" t="s">
        <v>30</v>
      </c>
      <c r="H26" s="2">
        <v>2.9479032258064519</v>
      </c>
    </row>
    <row r="27" spans="1:8" x14ac:dyDescent="0.3">
      <c r="A27" s="1" t="s">
        <v>44</v>
      </c>
      <c r="B27" s="2">
        <v>5.3272727272727272</v>
      </c>
      <c r="G27" s="1" t="s">
        <v>39</v>
      </c>
      <c r="H27" s="2">
        <v>2.9037931034482751</v>
      </c>
    </row>
    <row r="28" spans="1:8" x14ac:dyDescent="0.3">
      <c r="A28" s="1" t="s">
        <v>10</v>
      </c>
      <c r="G28" s="1" t="s">
        <v>42</v>
      </c>
      <c r="H28" s="2">
        <v>3.0937499999999991</v>
      </c>
    </row>
    <row r="29" spans="1:8" x14ac:dyDescent="0.3">
      <c r="A29" s="1" t="s">
        <v>18</v>
      </c>
      <c r="B29" s="2">
        <v>5.5</v>
      </c>
      <c r="G29" s="1" t="s">
        <v>18</v>
      </c>
      <c r="H29" s="2">
        <v>2.9934500000000002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6:X46"/>
  <sheetViews>
    <sheetView zoomScale="56" workbookViewId="0">
      <selection activeCell="W35" sqref="W35"/>
    </sheetView>
  </sheetViews>
  <sheetFormatPr defaultColWidth="8.6640625" defaultRowHeight="14.4" x14ac:dyDescent="0.3"/>
  <sheetData>
    <row r="26" spans="3:24" x14ac:dyDescent="0.3">
      <c r="C26" s="32" t="s">
        <v>21</v>
      </c>
      <c r="D26" s="32"/>
      <c r="E26" s="32"/>
      <c r="F26" s="32"/>
      <c r="G26" s="32"/>
      <c r="H26" s="32"/>
      <c r="I26" s="32"/>
      <c r="J26" s="32"/>
      <c r="T26" s="31" t="s">
        <v>0</v>
      </c>
      <c r="U26" s="31"/>
      <c r="V26" s="31"/>
      <c r="W26" s="31"/>
      <c r="X26" s="31"/>
    </row>
    <row r="46" spans="4:10" x14ac:dyDescent="0.3">
      <c r="D46" s="31" t="s">
        <v>33</v>
      </c>
      <c r="E46" s="31"/>
      <c r="F46" s="31"/>
      <c r="G46" s="31"/>
      <c r="H46" s="31"/>
      <c r="I46" s="31"/>
      <c r="J46" s="31"/>
    </row>
  </sheetData>
  <mergeCells count="3">
    <mergeCell ref="D46:J46"/>
    <mergeCell ref="C26:J26"/>
    <mergeCell ref="T26:X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T33"/>
  <sheetViews>
    <sheetView zoomScale="120" workbookViewId="0"/>
  </sheetViews>
  <sheetFormatPr defaultColWidth="8.6640625" defaultRowHeight="14.4" x14ac:dyDescent="0.3"/>
  <cols>
    <col min="1" max="1" width="9.44140625"/>
    <col min="8" max="8" width="10.33203125"/>
    <col min="10" max="10" width="9.21875"/>
    <col min="11" max="11" width="9.33203125"/>
    <col min="19" max="19" width="10.33203125"/>
    <col min="20" max="20" width="23.88671875"/>
  </cols>
  <sheetData>
    <row r="4" spans="1:20" ht="15" thickBot="1" x14ac:dyDescent="0.35"/>
    <row r="5" spans="1:20" x14ac:dyDescent="0.3">
      <c r="A5" s="39" t="s">
        <v>3</v>
      </c>
      <c r="B5" s="40"/>
      <c r="K5" s="3" t="s">
        <v>17</v>
      </c>
    </row>
    <row r="6" spans="1:20" x14ac:dyDescent="0.3">
      <c r="A6" s="38" t="s">
        <v>41</v>
      </c>
      <c r="B6" s="34"/>
      <c r="C6" s="34"/>
      <c r="D6" s="34"/>
      <c r="E6" s="34"/>
      <c r="F6" s="34"/>
      <c r="G6" s="34"/>
      <c r="H6" s="5" t="s">
        <v>5</v>
      </c>
      <c r="I6" s="6" t="s">
        <v>34</v>
      </c>
      <c r="K6" s="38" t="s">
        <v>6</v>
      </c>
      <c r="L6" s="34"/>
      <c r="M6" s="34"/>
      <c r="N6" s="34"/>
      <c r="O6" s="34"/>
      <c r="P6" s="34"/>
      <c r="Q6" s="34"/>
      <c r="R6" s="34"/>
      <c r="S6" s="5" t="s">
        <v>5</v>
      </c>
      <c r="T6" s="6" t="s">
        <v>4</v>
      </c>
    </row>
    <row r="7" spans="1:20" x14ac:dyDescent="0.3">
      <c r="A7" s="7"/>
      <c r="B7" s="8"/>
      <c r="C7" s="8"/>
      <c r="D7" s="8"/>
      <c r="E7" s="8"/>
      <c r="F7" s="8"/>
      <c r="G7" s="8"/>
      <c r="H7" s="8">
        <v>16</v>
      </c>
      <c r="I7" s="9">
        <f>INDEX(Harsh_ExcelDashboard!J:J,MATCH(Formulas!H7,Harsh_ExcelDashboard!A:A))</f>
        <v>4</v>
      </c>
      <c r="K7" s="7"/>
      <c r="L7" s="8"/>
      <c r="M7" s="8"/>
      <c r="N7" s="8"/>
      <c r="O7" s="8"/>
      <c r="P7" s="8"/>
      <c r="Q7" s="8"/>
      <c r="R7" s="8"/>
      <c r="S7" s="8">
        <v>16</v>
      </c>
      <c r="T7" s="9">
        <f>_xlfn.XLOOKUP(S7,Harsh_ExcelDashboard!A:A,Harsh_ExcelDashboard!G:G)</f>
        <v>2.4</v>
      </c>
    </row>
    <row r="8" spans="1:20" ht="15" thickBot="1" x14ac:dyDescent="0.35"/>
    <row r="9" spans="1:20" x14ac:dyDescent="0.3">
      <c r="A9" s="39" t="s">
        <v>24</v>
      </c>
      <c r="B9" s="40"/>
    </row>
    <row r="10" spans="1:20" ht="15" thickBot="1" x14ac:dyDescent="0.35">
      <c r="A10" s="33" t="s">
        <v>8</v>
      </c>
      <c r="B10" s="41"/>
      <c r="C10" s="41"/>
      <c r="D10" s="34"/>
      <c r="E10" s="34"/>
      <c r="F10" s="41"/>
      <c r="G10" s="41"/>
      <c r="H10" s="41"/>
    </row>
    <row r="11" spans="1:20" x14ac:dyDescent="0.3">
      <c r="D11" s="10" t="s">
        <v>22</v>
      </c>
      <c r="E11" s="11" t="s">
        <v>16</v>
      </c>
    </row>
    <row r="12" spans="1:20" x14ac:dyDescent="0.3">
      <c r="D12" s="12">
        <v>2</v>
      </c>
      <c r="E12" s="13" t="str">
        <f t="shared" ref="E12:E24" si="0">IF(D12&gt;=5,"HIGH RISK","LOW RISK")</f>
        <v>LOW RISK</v>
      </c>
    </row>
    <row r="13" spans="1:20" x14ac:dyDescent="0.3">
      <c r="D13" s="12">
        <v>8</v>
      </c>
      <c r="E13" s="13" t="str">
        <f t="shared" si="0"/>
        <v>HIGH RISK</v>
      </c>
    </row>
    <row r="14" spans="1:20" x14ac:dyDescent="0.3">
      <c r="D14" s="12">
        <v>2</v>
      </c>
      <c r="E14" s="13" t="str">
        <f t="shared" si="0"/>
        <v>LOW RISK</v>
      </c>
    </row>
    <row r="15" spans="1:20" x14ac:dyDescent="0.3">
      <c r="D15" s="12">
        <v>1</v>
      </c>
      <c r="E15" s="13" t="str">
        <f t="shared" si="0"/>
        <v>LOW RISK</v>
      </c>
    </row>
    <row r="16" spans="1:20" x14ac:dyDescent="0.3">
      <c r="D16" s="12">
        <v>3</v>
      </c>
      <c r="E16" s="13" t="str">
        <f t="shared" si="0"/>
        <v>LOW RISK</v>
      </c>
    </row>
    <row r="17" spans="1:6" x14ac:dyDescent="0.3">
      <c r="D17" s="12">
        <v>3</v>
      </c>
      <c r="E17" s="13" t="str">
        <f t="shared" si="0"/>
        <v>LOW RISK</v>
      </c>
    </row>
    <row r="18" spans="1:6" x14ac:dyDescent="0.3">
      <c r="D18" s="12">
        <v>2</v>
      </c>
      <c r="E18" s="13" t="str">
        <f t="shared" si="0"/>
        <v>LOW RISK</v>
      </c>
    </row>
    <row r="19" spans="1:6" x14ac:dyDescent="0.3">
      <c r="D19" s="12">
        <v>6</v>
      </c>
      <c r="E19" s="13" t="str">
        <f t="shared" si="0"/>
        <v>HIGH RISK</v>
      </c>
    </row>
    <row r="20" spans="1:6" x14ac:dyDescent="0.3">
      <c r="D20" s="12">
        <v>1</v>
      </c>
      <c r="E20" s="13" t="str">
        <f t="shared" si="0"/>
        <v>LOW RISK</v>
      </c>
    </row>
    <row r="21" spans="1:6" x14ac:dyDescent="0.3">
      <c r="D21" s="12">
        <v>1</v>
      </c>
      <c r="E21" s="13" t="str">
        <f t="shared" si="0"/>
        <v>LOW RISK</v>
      </c>
    </row>
    <row r="22" spans="1:6" x14ac:dyDescent="0.3">
      <c r="D22" s="12">
        <v>5</v>
      </c>
      <c r="E22" s="13" t="str">
        <f t="shared" si="0"/>
        <v>HIGH RISK</v>
      </c>
    </row>
    <row r="23" spans="1:6" x14ac:dyDescent="0.3">
      <c r="D23" s="12">
        <v>1</v>
      </c>
      <c r="E23" s="13" t="str">
        <f t="shared" si="0"/>
        <v>LOW RISK</v>
      </c>
    </row>
    <row r="24" spans="1:6" ht="15" thickBot="1" x14ac:dyDescent="0.35">
      <c r="D24" s="14">
        <v>5</v>
      </c>
      <c r="E24" s="15" t="str">
        <f t="shared" si="0"/>
        <v>HIGH RISK</v>
      </c>
    </row>
    <row r="25" spans="1:6" x14ac:dyDescent="0.3">
      <c r="A25" s="4" t="s">
        <v>1</v>
      </c>
    </row>
    <row r="26" spans="1:6" ht="15" thickBot="1" x14ac:dyDescent="0.35">
      <c r="A26" s="33" t="s">
        <v>28</v>
      </c>
      <c r="B26" s="34"/>
      <c r="C26" s="34"/>
      <c r="D26" s="34"/>
      <c r="E26" s="34"/>
      <c r="F26" s="35"/>
    </row>
    <row r="27" spans="1:6" x14ac:dyDescent="0.3">
      <c r="B27" s="36" t="s">
        <v>2</v>
      </c>
      <c r="C27" s="37"/>
      <c r="D27" s="37"/>
      <c r="E27" s="11" t="s">
        <v>40</v>
      </c>
    </row>
    <row r="28" spans="1:6" x14ac:dyDescent="0.3">
      <c r="B28" s="12"/>
      <c r="C28" s="16">
        <v>3.5</v>
      </c>
      <c r="D28" s="16"/>
      <c r="E28" s="13" t="str">
        <f t="shared" ref="E28:E33" si="1">IF(C28&gt;3.5,"Excellent",IF(C28&gt;=2.5,"Average","Poor"))</f>
        <v>Average</v>
      </c>
    </row>
    <row r="29" spans="1:6" x14ac:dyDescent="0.3">
      <c r="B29" s="12"/>
      <c r="C29" s="16">
        <v>2</v>
      </c>
      <c r="D29" s="16"/>
      <c r="E29" s="13" t="str">
        <f t="shared" si="1"/>
        <v>Poor</v>
      </c>
    </row>
    <row r="30" spans="1:6" x14ac:dyDescent="0.3">
      <c r="B30" s="12"/>
      <c r="C30" s="16">
        <v>1</v>
      </c>
      <c r="D30" s="16"/>
      <c r="E30" s="13" t="str">
        <f t="shared" si="1"/>
        <v>Poor</v>
      </c>
    </row>
    <row r="31" spans="1:6" x14ac:dyDescent="0.3">
      <c r="B31" s="12"/>
      <c r="C31" s="16">
        <v>4</v>
      </c>
      <c r="D31" s="16"/>
      <c r="E31" s="13" t="str">
        <f t="shared" si="1"/>
        <v>Excellent</v>
      </c>
    </row>
    <row r="32" spans="1:6" x14ac:dyDescent="0.3">
      <c r="B32" s="12"/>
      <c r="C32" s="16">
        <v>2</v>
      </c>
      <c r="D32" s="16"/>
      <c r="E32" s="13" t="str">
        <f t="shared" si="1"/>
        <v>Poor</v>
      </c>
    </row>
    <row r="33" spans="2:5" ht="15" thickBot="1" x14ac:dyDescent="0.35">
      <c r="B33" s="14"/>
      <c r="C33" s="17">
        <v>6</v>
      </c>
      <c r="D33" s="17"/>
      <c r="E33" s="15" t="str">
        <f t="shared" si="1"/>
        <v>Excellent</v>
      </c>
    </row>
  </sheetData>
  <mergeCells count="7">
    <mergeCell ref="A26:F26"/>
    <mergeCell ref="B27:D27"/>
    <mergeCell ref="K6:R6"/>
    <mergeCell ref="A5:B5"/>
    <mergeCell ref="A6:G6"/>
    <mergeCell ref="A10:H10"/>
    <mergeCell ref="A9: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24BEE-918A-42A6-B496-A7817C5C2061}">
  <dimension ref="A3:C61"/>
  <sheetViews>
    <sheetView tabSelected="1" zoomScale="46" workbookViewId="0">
      <selection activeCell="U48" sqref="U48"/>
    </sheetView>
  </sheetViews>
  <sheetFormatPr defaultRowHeight="14.4" x14ac:dyDescent="0.3"/>
  <cols>
    <col min="1" max="1" width="12.6640625" bestFit="1" customWidth="1"/>
    <col min="2" max="2" width="34" bestFit="1" customWidth="1"/>
    <col min="3" max="3" width="30.21875" bestFit="1" customWidth="1"/>
    <col min="4" max="4" width="30" bestFit="1" customWidth="1"/>
  </cols>
  <sheetData>
    <row r="3" spans="1:3" x14ac:dyDescent="0.3">
      <c r="A3" s="19" t="s">
        <v>45</v>
      </c>
      <c r="B3" s="18" t="s">
        <v>46</v>
      </c>
      <c r="C3" s="26" t="s">
        <v>47</v>
      </c>
    </row>
    <row r="4" spans="1:3" x14ac:dyDescent="0.3">
      <c r="A4" s="21" t="s">
        <v>29</v>
      </c>
      <c r="B4" s="18">
        <v>6.60952380952381</v>
      </c>
      <c r="C4" s="26">
        <v>4.5349206349206348</v>
      </c>
    </row>
    <row r="5" spans="1:3" x14ac:dyDescent="0.3">
      <c r="A5" s="22" t="s">
        <v>43</v>
      </c>
      <c r="B5" s="27">
        <v>6.4859154929577461</v>
      </c>
      <c r="C5" s="28">
        <v>4.4042253521126771</v>
      </c>
    </row>
    <row r="6" spans="1:3" x14ac:dyDescent="0.3">
      <c r="A6" s="22" t="s">
        <v>32</v>
      </c>
      <c r="B6" s="27">
        <v>6.4954545454545443</v>
      </c>
      <c r="C6" s="28">
        <v>4.1045454545454545</v>
      </c>
    </row>
    <row r="7" spans="1:3" x14ac:dyDescent="0.3">
      <c r="A7" s="22" t="s">
        <v>10</v>
      </c>
      <c r="B7" s="27"/>
      <c r="C7" s="28"/>
    </row>
    <row r="8" spans="1:3" x14ac:dyDescent="0.3">
      <c r="A8" s="24" t="s">
        <v>18</v>
      </c>
      <c r="B8" s="29">
        <v>6.5280000000000022</v>
      </c>
      <c r="C8" s="30">
        <v>4.3464999999999989</v>
      </c>
    </row>
    <row r="13" spans="1:3" x14ac:dyDescent="0.3">
      <c r="A13" s="19" t="s">
        <v>45</v>
      </c>
      <c r="B13" s="18" t="s">
        <v>48</v>
      </c>
      <c r="C13" s="26" t="s">
        <v>31</v>
      </c>
    </row>
    <row r="14" spans="1:3" x14ac:dyDescent="0.3">
      <c r="A14" s="21" t="s">
        <v>29</v>
      </c>
      <c r="B14" s="18">
        <v>15.634920634920634</v>
      </c>
      <c r="C14" s="26">
        <v>2.9866666666666672</v>
      </c>
    </row>
    <row r="15" spans="1:3" x14ac:dyDescent="0.3">
      <c r="A15" s="22" t="s">
        <v>43</v>
      </c>
      <c r="B15" s="27">
        <v>15.95774647887324</v>
      </c>
      <c r="C15" s="28">
        <v>3.0904225352112671</v>
      </c>
    </row>
    <row r="16" spans="1:3" x14ac:dyDescent="0.3">
      <c r="A16" s="22" t="s">
        <v>32</v>
      </c>
      <c r="B16" s="27">
        <v>15.621212121212121</v>
      </c>
      <c r="C16" s="28">
        <v>2.8956060606060605</v>
      </c>
    </row>
    <row r="17" spans="1:3" x14ac:dyDescent="0.3">
      <c r="A17" s="22" t="s">
        <v>10</v>
      </c>
      <c r="B17" s="27"/>
      <c r="C17" s="28"/>
    </row>
    <row r="18" spans="1:3" x14ac:dyDescent="0.3">
      <c r="A18" s="24" t="s">
        <v>18</v>
      </c>
      <c r="B18" s="29">
        <v>15.744999999999999</v>
      </c>
      <c r="C18" s="30">
        <v>2.9934500000000024</v>
      </c>
    </row>
    <row r="23" spans="1:3" x14ac:dyDescent="0.3">
      <c r="A23" s="19" t="s">
        <v>45</v>
      </c>
      <c r="B23" s="20" t="s">
        <v>49</v>
      </c>
    </row>
    <row r="24" spans="1:3" x14ac:dyDescent="0.3">
      <c r="A24" s="21" t="s">
        <v>29</v>
      </c>
      <c r="B24" s="20">
        <v>2.2999999999999998</v>
      </c>
    </row>
    <row r="25" spans="1:3" x14ac:dyDescent="0.3">
      <c r="A25" s="22" t="s">
        <v>43</v>
      </c>
      <c r="B25" s="23">
        <v>1.2</v>
      </c>
    </row>
    <row r="26" spans="1:3" x14ac:dyDescent="0.3">
      <c r="A26" s="22" t="s">
        <v>32</v>
      </c>
      <c r="B26" s="23">
        <v>0.6</v>
      </c>
    </row>
    <row r="27" spans="1:3" x14ac:dyDescent="0.3">
      <c r="A27" s="24" t="s">
        <v>18</v>
      </c>
      <c r="B27" s="25">
        <v>1.5999999999999999</v>
      </c>
    </row>
    <row r="35" spans="1:3" x14ac:dyDescent="0.3">
      <c r="A35" s="19" t="s">
        <v>45</v>
      </c>
      <c r="B35" s="18" t="s">
        <v>47</v>
      </c>
      <c r="C35" s="26" t="s">
        <v>31</v>
      </c>
    </row>
    <row r="36" spans="1:3" x14ac:dyDescent="0.3">
      <c r="A36" s="21" t="s">
        <v>29</v>
      </c>
      <c r="B36" s="18">
        <v>4.84</v>
      </c>
      <c r="C36" s="26">
        <v>2.9987999999999992</v>
      </c>
    </row>
    <row r="37" spans="1:3" x14ac:dyDescent="0.3">
      <c r="A37" s="22" t="s">
        <v>43</v>
      </c>
      <c r="B37" s="27">
        <v>4.3624999999999989</v>
      </c>
      <c r="C37" s="28">
        <v>3.1518749999999991</v>
      </c>
    </row>
    <row r="38" spans="1:3" x14ac:dyDescent="0.3">
      <c r="A38" s="22" t="s">
        <v>32</v>
      </c>
      <c r="B38" s="27">
        <v>4.6260869565217391</v>
      </c>
      <c r="C38" s="28">
        <v>3.1160869565217393</v>
      </c>
    </row>
    <row r="39" spans="1:3" x14ac:dyDescent="0.3">
      <c r="A39" s="24" t="s">
        <v>18</v>
      </c>
      <c r="B39" s="29">
        <v>4.5875000000000004</v>
      </c>
      <c r="C39" s="30">
        <v>3.0937499999999996</v>
      </c>
    </row>
    <row r="47" spans="1:3" x14ac:dyDescent="0.3">
      <c r="A47" s="19" t="s">
        <v>45</v>
      </c>
      <c r="B47" s="20" t="s">
        <v>49</v>
      </c>
    </row>
    <row r="48" spans="1:3" x14ac:dyDescent="0.3">
      <c r="A48" s="21" t="s">
        <v>29</v>
      </c>
      <c r="B48" s="20">
        <v>1.8126984126984129</v>
      </c>
    </row>
    <row r="49" spans="1:3" x14ac:dyDescent="0.3">
      <c r="A49" s="22" t="s">
        <v>43</v>
      </c>
      <c r="B49" s="23">
        <v>1.7732394366197182</v>
      </c>
    </row>
    <row r="50" spans="1:3" x14ac:dyDescent="0.3">
      <c r="A50" s="22" t="s">
        <v>32</v>
      </c>
      <c r="B50" s="23">
        <v>1.6893939393939392</v>
      </c>
    </row>
    <row r="51" spans="1:3" x14ac:dyDescent="0.3">
      <c r="A51" s="22" t="s">
        <v>10</v>
      </c>
      <c r="B51" s="23"/>
    </row>
    <row r="52" spans="1:3" x14ac:dyDescent="0.3">
      <c r="A52" s="24" t="s">
        <v>18</v>
      </c>
      <c r="B52" s="25">
        <v>1.7580000000000007</v>
      </c>
    </row>
    <row r="56" spans="1:3" x14ac:dyDescent="0.3">
      <c r="A56" s="19" t="s">
        <v>45</v>
      </c>
      <c r="B56" s="18" t="s">
        <v>50</v>
      </c>
      <c r="C56" s="26" t="s">
        <v>51</v>
      </c>
    </row>
    <row r="57" spans="1:3" x14ac:dyDescent="0.3">
      <c r="A57" s="21" t="s">
        <v>29</v>
      </c>
      <c r="B57" s="18">
        <v>1.0761904761904761</v>
      </c>
      <c r="C57" s="26">
        <v>5.9523809523809526</v>
      </c>
    </row>
    <row r="58" spans="1:3" x14ac:dyDescent="0.3">
      <c r="A58" s="22" t="s">
        <v>43</v>
      </c>
      <c r="B58" s="27">
        <v>0.98873239436619742</v>
      </c>
      <c r="C58" s="28">
        <v>5.408450704225352</v>
      </c>
    </row>
    <row r="59" spans="1:3" x14ac:dyDescent="0.3">
      <c r="A59" s="22" t="s">
        <v>32</v>
      </c>
      <c r="B59" s="27">
        <v>1.0106060606060607</v>
      </c>
      <c r="C59" s="28">
        <v>4.9242424242424239</v>
      </c>
    </row>
    <row r="60" spans="1:3" x14ac:dyDescent="0.3">
      <c r="A60" s="22" t="s">
        <v>10</v>
      </c>
      <c r="B60" s="27"/>
      <c r="C60" s="28"/>
    </row>
    <row r="61" spans="1:3" x14ac:dyDescent="0.3">
      <c r="A61" s="24" t="s">
        <v>18</v>
      </c>
      <c r="B61" s="29">
        <v>1.0235000000000003</v>
      </c>
      <c r="C61" s="30">
        <v>5.42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01"/>
  <sheetViews>
    <sheetView workbookViewId="0">
      <selection activeCell="G7" sqref="G7"/>
    </sheetView>
  </sheetViews>
  <sheetFormatPr defaultColWidth="8.6640625" defaultRowHeight="14.4" x14ac:dyDescent="0.3"/>
  <cols>
    <col min="1" max="1" width="4"/>
    <col min="2" max="2" width="6.88671875"/>
    <col min="3" max="3" width="23"/>
    <col min="4" max="4" width="14.21875"/>
    <col min="5" max="5" width="11.109375"/>
    <col min="6" max="6" width="23.6640625"/>
    <col min="7" max="7" width="20.6640625"/>
    <col min="8" max="8" width="14.44140625"/>
    <col min="9" max="9" width="21.33203125"/>
    <col min="10" max="10" width="11"/>
    <col min="11" max="11" width="12.21875"/>
    <col min="12" max="12" width="14"/>
    <col min="13" max="13" width="15.44140625"/>
  </cols>
  <sheetData>
    <row r="1" spans="1:28" x14ac:dyDescent="0.3">
      <c r="A1" s="42" t="s">
        <v>27</v>
      </c>
      <c r="B1" s="43" t="s">
        <v>26</v>
      </c>
      <c r="C1" s="43" t="s">
        <v>23</v>
      </c>
      <c r="D1" s="43" t="s">
        <v>35</v>
      </c>
      <c r="E1" s="43" t="s">
        <v>20</v>
      </c>
      <c r="F1" s="43" t="s">
        <v>38</v>
      </c>
      <c r="G1" s="43" t="s">
        <v>19</v>
      </c>
      <c r="H1" s="43" t="s">
        <v>15</v>
      </c>
      <c r="I1" s="43" t="s">
        <v>25</v>
      </c>
      <c r="J1" s="43" t="s">
        <v>14</v>
      </c>
      <c r="K1" s="43" t="s">
        <v>13</v>
      </c>
      <c r="L1" s="44" t="s">
        <v>11</v>
      </c>
      <c r="AB1" t="str">
        <f>PROPER(N1)</f>
        <v/>
      </c>
    </row>
    <row r="2" spans="1:28" x14ac:dyDescent="0.3">
      <c r="A2">
        <v>14</v>
      </c>
      <c r="B2" t="s">
        <v>44</v>
      </c>
      <c r="C2">
        <v>7.9</v>
      </c>
      <c r="D2" t="s">
        <v>43</v>
      </c>
      <c r="E2">
        <v>7.4</v>
      </c>
      <c r="F2">
        <v>2.9</v>
      </c>
      <c r="G2">
        <v>3.01</v>
      </c>
      <c r="H2">
        <v>1.5</v>
      </c>
      <c r="I2" t="s">
        <v>39</v>
      </c>
      <c r="J2">
        <v>2</v>
      </c>
      <c r="K2">
        <v>2</v>
      </c>
      <c r="L2">
        <v>1</v>
      </c>
    </row>
    <row r="3" spans="1:28" x14ac:dyDescent="0.3">
      <c r="A3">
        <v>19</v>
      </c>
      <c r="B3" t="s">
        <v>36</v>
      </c>
      <c r="C3">
        <v>1.9</v>
      </c>
      <c r="D3" t="s">
        <v>32</v>
      </c>
      <c r="E3">
        <v>8</v>
      </c>
      <c r="F3">
        <v>2.9</v>
      </c>
      <c r="G3">
        <v>3.22</v>
      </c>
      <c r="H3">
        <v>0.8</v>
      </c>
      <c r="I3" t="s">
        <v>30</v>
      </c>
      <c r="J3">
        <v>8</v>
      </c>
      <c r="K3">
        <v>1</v>
      </c>
      <c r="L3">
        <v>10</v>
      </c>
    </row>
    <row r="4" spans="1:28" x14ac:dyDescent="0.3">
      <c r="A4">
        <v>17</v>
      </c>
      <c r="B4" t="s">
        <v>36</v>
      </c>
      <c r="C4">
        <v>1.3</v>
      </c>
      <c r="D4" t="s">
        <v>43</v>
      </c>
      <c r="E4">
        <v>7.6</v>
      </c>
      <c r="F4">
        <v>0.5</v>
      </c>
      <c r="G4">
        <v>3.92</v>
      </c>
      <c r="H4">
        <v>0</v>
      </c>
      <c r="I4" t="s">
        <v>30</v>
      </c>
      <c r="J4">
        <v>2</v>
      </c>
      <c r="K4">
        <v>4</v>
      </c>
      <c r="L4">
        <v>2</v>
      </c>
    </row>
    <row r="5" spans="1:28" x14ac:dyDescent="0.3">
      <c r="A5">
        <v>15</v>
      </c>
      <c r="B5" t="s">
        <v>44</v>
      </c>
      <c r="C5">
        <v>7.4</v>
      </c>
      <c r="D5" t="s">
        <v>32</v>
      </c>
      <c r="E5">
        <v>6.9</v>
      </c>
      <c r="F5">
        <v>1.6</v>
      </c>
      <c r="G5">
        <v>3.48</v>
      </c>
      <c r="H5">
        <v>0.8</v>
      </c>
      <c r="I5" t="s">
        <v>42</v>
      </c>
      <c r="J5">
        <v>1</v>
      </c>
      <c r="K5">
        <v>7</v>
      </c>
      <c r="L5">
        <v>9</v>
      </c>
    </row>
    <row r="6" spans="1:28" x14ac:dyDescent="0.3">
      <c r="A6">
        <v>15</v>
      </c>
      <c r="B6" t="s">
        <v>36</v>
      </c>
      <c r="C6">
        <v>4.7</v>
      </c>
      <c r="D6" t="s">
        <v>29</v>
      </c>
      <c r="E6">
        <v>4.9000000000000004</v>
      </c>
      <c r="F6">
        <v>3</v>
      </c>
      <c r="G6">
        <v>2.37</v>
      </c>
      <c r="H6">
        <v>1.4</v>
      </c>
      <c r="I6" t="s">
        <v>42</v>
      </c>
      <c r="J6">
        <v>3</v>
      </c>
      <c r="K6">
        <v>5</v>
      </c>
      <c r="L6">
        <v>2</v>
      </c>
    </row>
    <row r="7" spans="1:28" x14ac:dyDescent="0.3">
      <c r="A7">
        <v>19</v>
      </c>
      <c r="B7" t="s">
        <v>36</v>
      </c>
      <c r="C7">
        <v>7.4</v>
      </c>
      <c r="D7" t="s">
        <v>29</v>
      </c>
      <c r="E7">
        <v>4.4000000000000004</v>
      </c>
      <c r="F7">
        <v>2.4</v>
      </c>
      <c r="G7">
        <v>2.63</v>
      </c>
      <c r="H7">
        <v>0.6</v>
      </c>
      <c r="I7" t="s">
        <v>30</v>
      </c>
      <c r="J7">
        <v>3</v>
      </c>
      <c r="K7">
        <v>5</v>
      </c>
      <c r="L7">
        <v>7</v>
      </c>
    </row>
    <row r="8" spans="1:28" x14ac:dyDescent="0.3">
      <c r="A8">
        <v>18</v>
      </c>
      <c r="B8" t="s">
        <v>36</v>
      </c>
      <c r="C8">
        <v>2.5</v>
      </c>
      <c r="D8" t="s">
        <v>43</v>
      </c>
      <c r="E8">
        <v>6.4</v>
      </c>
      <c r="F8">
        <v>2.4</v>
      </c>
      <c r="G8">
        <v>2.63</v>
      </c>
      <c r="H8">
        <v>0.7</v>
      </c>
      <c r="I8" t="s">
        <v>39</v>
      </c>
      <c r="J8">
        <v>2</v>
      </c>
      <c r="K8">
        <v>2</v>
      </c>
      <c r="L8">
        <v>5</v>
      </c>
    </row>
    <row r="9" spans="1:28" x14ac:dyDescent="0.3">
      <c r="A9">
        <v>16</v>
      </c>
      <c r="B9" t="s">
        <v>44</v>
      </c>
      <c r="C9">
        <v>4</v>
      </c>
      <c r="D9" t="s">
        <v>29</v>
      </c>
      <c r="E9">
        <v>4.2</v>
      </c>
      <c r="F9">
        <v>0.5</v>
      </c>
      <c r="G9">
        <v>2.4</v>
      </c>
      <c r="H9">
        <v>1.3</v>
      </c>
      <c r="I9" t="s">
        <v>39</v>
      </c>
      <c r="J9">
        <v>6</v>
      </c>
      <c r="K9">
        <v>10</v>
      </c>
      <c r="L9">
        <v>5</v>
      </c>
    </row>
    <row r="10" spans="1:28" x14ac:dyDescent="0.3">
      <c r="A10">
        <v>19</v>
      </c>
      <c r="B10" t="s">
        <v>36</v>
      </c>
      <c r="C10">
        <v>3.3</v>
      </c>
      <c r="D10" t="s">
        <v>32</v>
      </c>
      <c r="E10">
        <v>5</v>
      </c>
      <c r="F10">
        <v>2.1</v>
      </c>
      <c r="G10">
        <v>2.04</v>
      </c>
      <c r="H10">
        <v>0.9</v>
      </c>
      <c r="I10" t="s">
        <v>30</v>
      </c>
      <c r="J10">
        <v>1</v>
      </c>
      <c r="K10">
        <v>10</v>
      </c>
      <c r="L10">
        <v>9</v>
      </c>
    </row>
    <row r="11" spans="1:28" x14ac:dyDescent="0.3">
      <c r="A11">
        <v>15</v>
      </c>
      <c r="B11" t="s">
        <v>44</v>
      </c>
      <c r="C11">
        <v>1.9</v>
      </c>
      <c r="D11" t="s">
        <v>32</v>
      </c>
      <c r="E11">
        <v>4.9000000000000004</v>
      </c>
      <c r="F11">
        <v>1.5</v>
      </c>
      <c r="G11">
        <v>3.77</v>
      </c>
      <c r="H11">
        <v>1.1000000000000001</v>
      </c>
      <c r="I11" t="s">
        <v>30</v>
      </c>
      <c r="J11">
        <v>1</v>
      </c>
      <c r="K11">
        <v>1</v>
      </c>
      <c r="L11">
        <v>4</v>
      </c>
    </row>
    <row r="12" spans="1:28" x14ac:dyDescent="0.3">
      <c r="A12">
        <v>16</v>
      </c>
      <c r="B12" t="s">
        <v>44</v>
      </c>
      <c r="C12">
        <v>7.2</v>
      </c>
      <c r="D12" t="s">
        <v>29</v>
      </c>
      <c r="E12">
        <v>5.8</v>
      </c>
      <c r="F12">
        <v>2.9</v>
      </c>
      <c r="G12">
        <v>3.16</v>
      </c>
      <c r="H12">
        <v>1.2</v>
      </c>
      <c r="I12" t="s">
        <v>42</v>
      </c>
      <c r="J12">
        <v>5</v>
      </c>
      <c r="K12">
        <v>8</v>
      </c>
      <c r="L12">
        <v>9</v>
      </c>
    </row>
    <row r="13" spans="1:28" x14ac:dyDescent="0.3">
      <c r="A13">
        <v>13</v>
      </c>
      <c r="B13" t="s">
        <v>44</v>
      </c>
      <c r="C13">
        <v>4.9000000000000004</v>
      </c>
      <c r="D13" t="s">
        <v>43</v>
      </c>
      <c r="E13">
        <v>4.7</v>
      </c>
      <c r="F13">
        <v>2.5</v>
      </c>
      <c r="G13">
        <v>3.92</v>
      </c>
      <c r="H13">
        <v>1.2</v>
      </c>
      <c r="I13" t="s">
        <v>39</v>
      </c>
      <c r="J13">
        <v>1</v>
      </c>
      <c r="K13">
        <v>10</v>
      </c>
      <c r="L13">
        <v>8</v>
      </c>
    </row>
    <row r="14" spans="1:28" x14ac:dyDescent="0.3">
      <c r="A14">
        <v>16</v>
      </c>
      <c r="B14" t="s">
        <v>44</v>
      </c>
      <c r="C14">
        <v>6.2</v>
      </c>
      <c r="D14" t="s">
        <v>29</v>
      </c>
      <c r="E14">
        <v>7.2</v>
      </c>
      <c r="F14">
        <v>2.6</v>
      </c>
      <c r="G14">
        <v>2.02</v>
      </c>
      <c r="H14">
        <v>1.7</v>
      </c>
      <c r="I14" t="s">
        <v>42</v>
      </c>
      <c r="J14">
        <v>5</v>
      </c>
      <c r="K14">
        <v>7</v>
      </c>
      <c r="L14">
        <v>6</v>
      </c>
    </row>
    <row r="15" spans="1:28" x14ac:dyDescent="0.3">
      <c r="A15">
        <v>17</v>
      </c>
      <c r="B15" t="s">
        <v>36</v>
      </c>
      <c r="C15">
        <v>6.8</v>
      </c>
      <c r="D15" t="s">
        <v>32</v>
      </c>
      <c r="E15">
        <v>5.7</v>
      </c>
      <c r="F15">
        <v>1.1000000000000001</v>
      </c>
      <c r="G15">
        <v>3.29</v>
      </c>
      <c r="H15">
        <v>1.3</v>
      </c>
      <c r="I15" t="s">
        <v>42</v>
      </c>
      <c r="J15">
        <v>1</v>
      </c>
      <c r="K15">
        <v>10</v>
      </c>
      <c r="L15">
        <v>10</v>
      </c>
    </row>
    <row r="16" spans="1:28" x14ac:dyDescent="0.3">
      <c r="A16">
        <v>15</v>
      </c>
      <c r="B16" t="s">
        <v>44</v>
      </c>
      <c r="C16">
        <v>5.7</v>
      </c>
      <c r="D16" t="s">
        <v>32</v>
      </c>
      <c r="E16">
        <v>5.9</v>
      </c>
      <c r="F16">
        <v>0.8</v>
      </c>
      <c r="G16">
        <v>3.5</v>
      </c>
      <c r="H16">
        <v>0.7</v>
      </c>
      <c r="I16" t="s">
        <v>39</v>
      </c>
      <c r="J16">
        <v>1</v>
      </c>
      <c r="K16">
        <v>9</v>
      </c>
      <c r="L16">
        <v>1</v>
      </c>
    </row>
    <row r="17" spans="1:12" x14ac:dyDescent="0.3">
      <c r="A17">
        <v>14</v>
      </c>
      <c r="B17" t="s">
        <v>36</v>
      </c>
      <c r="C17">
        <v>3.6</v>
      </c>
      <c r="D17" t="s">
        <v>29</v>
      </c>
      <c r="E17">
        <v>5.3</v>
      </c>
      <c r="F17">
        <v>0.6</v>
      </c>
      <c r="G17">
        <v>2.99</v>
      </c>
      <c r="H17">
        <v>0.3</v>
      </c>
      <c r="I17" t="s">
        <v>30</v>
      </c>
      <c r="J17">
        <v>4</v>
      </c>
      <c r="K17">
        <v>10</v>
      </c>
      <c r="L17">
        <v>2</v>
      </c>
    </row>
    <row r="18" spans="1:12" x14ac:dyDescent="0.3">
      <c r="A18">
        <v>13</v>
      </c>
      <c r="B18" t="s">
        <v>44</v>
      </c>
      <c r="C18">
        <v>1.5</v>
      </c>
      <c r="D18" t="s">
        <v>29</v>
      </c>
      <c r="E18">
        <v>4.2</v>
      </c>
      <c r="F18">
        <v>1.4</v>
      </c>
      <c r="G18">
        <v>2.59</v>
      </c>
      <c r="H18">
        <v>0.5</v>
      </c>
      <c r="I18" t="s">
        <v>30</v>
      </c>
      <c r="J18">
        <v>4</v>
      </c>
      <c r="K18">
        <v>5</v>
      </c>
      <c r="L18">
        <v>8</v>
      </c>
    </row>
    <row r="19" spans="1:12" x14ac:dyDescent="0.3">
      <c r="A19">
        <v>16</v>
      </c>
      <c r="B19" t="s">
        <v>44</v>
      </c>
      <c r="C19">
        <v>3.1</v>
      </c>
      <c r="D19" t="s">
        <v>29</v>
      </c>
      <c r="E19">
        <v>6.1</v>
      </c>
      <c r="F19">
        <v>0.8</v>
      </c>
      <c r="G19">
        <v>2.11</v>
      </c>
      <c r="H19">
        <v>1.9</v>
      </c>
      <c r="I19" t="s">
        <v>30</v>
      </c>
      <c r="J19">
        <v>10</v>
      </c>
      <c r="K19">
        <v>7</v>
      </c>
      <c r="L19">
        <v>10</v>
      </c>
    </row>
    <row r="20" spans="1:12" x14ac:dyDescent="0.3">
      <c r="A20">
        <v>16</v>
      </c>
      <c r="B20" t="s">
        <v>36</v>
      </c>
      <c r="C20">
        <v>6.7</v>
      </c>
      <c r="D20" t="s">
        <v>29</v>
      </c>
      <c r="E20">
        <v>6.8</v>
      </c>
      <c r="F20">
        <v>1.9</v>
      </c>
      <c r="G20">
        <v>3.08</v>
      </c>
      <c r="H20">
        <v>1.4</v>
      </c>
      <c r="I20" t="s">
        <v>30</v>
      </c>
      <c r="J20">
        <v>10</v>
      </c>
      <c r="K20">
        <v>9</v>
      </c>
      <c r="L20">
        <v>1</v>
      </c>
    </row>
    <row r="21" spans="1:12" x14ac:dyDescent="0.3">
      <c r="A21">
        <v>14</v>
      </c>
      <c r="B21" t="s">
        <v>36</v>
      </c>
      <c r="C21">
        <v>1.2</v>
      </c>
      <c r="D21" t="s">
        <v>43</v>
      </c>
      <c r="E21">
        <v>7.6</v>
      </c>
      <c r="F21">
        <v>1</v>
      </c>
      <c r="G21">
        <v>3.85</v>
      </c>
      <c r="H21">
        <v>0.8</v>
      </c>
      <c r="I21" t="s">
        <v>30</v>
      </c>
      <c r="J21">
        <v>8</v>
      </c>
      <c r="K21">
        <v>4</v>
      </c>
      <c r="L21">
        <v>6</v>
      </c>
    </row>
    <row r="22" spans="1:12" x14ac:dyDescent="0.3">
      <c r="A22">
        <v>16</v>
      </c>
      <c r="B22" t="s">
        <v>44</v>
      </c>
      <c r="C22">
        <v>3.4</v>
      </c>
      <c r="D22" t="s">
        <v>32</v>
      </c>
      <c r="E22">
        <v>4.5999999999999996</v>
      </c>
      <c r="F22">
        <v>2.1</v>
      </c>
      <c r="G22">
        <v>2.2400000000000002</v>
      </c>
      <c r="H22">
        <v>0.4</v>
      </c>
      <c r="I22" t="s">
        <v>30</v>
      </c>
      <c r="J22">
        <v>4</v>
      </c>
      <c r="K22">
        <v>1</v>
      </c>
      <c r="L22">
        <v>3</v>
      </c>
    </row>
    <row r="23" spans="1:12" x14ac:dyDescent="0.3">
      <c r="A23">
        <v>18</v>
      </c>
      <c r="B23" t="s">
        <v>44</v>
      </c>
      <c r="C23">
        <v>4.0999999999999996</v>
      </c>
      <c r="D23" t="s">
        <v>29</v>
      </c>
      <c r="E23">
        <v>7.4</v>
      </c>
      <c r="F23">
        <v>2.4</v>
      </c>
      <c r="G23">
        <v>2.38</v>
      </c>
      <c r="H23">
        <v>1.5</v>
      </c>
      <c r="I23" t="s">
        <v>42</v>
      </c>
      <c r="J23">
        <v>8</v>
      </c>
      <c r="K23">
        <v>4</v>
      </c>
      <c r="L23">
        <v>9</v>
      </c>
    </row>
    <row r="24" spans="1:12" x14ac:dyDescent="0.3">
      <c r="A24">
        <v>18</v>
      </c>
      <c r="B24" t="s">
        <v>44</v>
      </c>
      <c r="C24">
        <v>5.3</v>
      </c>
      <c r="D24" t="s">
        <v>43</v>
      </c>
      <c r="E24">
        <v>4.9000000000000004</v>
      </c>
      <c r="F24">
        <v>1.2</v>
      </c>
      <c r="G24">
        <v>3.69</v>
      </c>
      <c r="H24">
        <v>1.2</v>
      </c>
      <c r="I24" t="s">
        <v>39</v>
      </c>
      <c r="J24">
        <v>5</v>
      </c>
      <c r="K24">
        <v>4</v>
      </c>
      <c r="L24">
        <v>5</v>
      </c>
    </row>
    <row r="25" spans="1:12" x14ac:dyDescent="0.3">
      <c r="A25">
        <v>18</v>
      </c>
      <c r="B25" t="s">
        <v>36</v>
      </c>
      <c r="C25">
        <v>2.2999999999999998</v>
      </c>
      <c r="D25" t="s">
        <v>32</v>
      </c>
      <c r="E25">
        <v>7.6</v>
      </c>
      <c r="F25">
        <v>0.5</v>
      </c>
      <c r="G25">
        <v>2.96</v>
      </c>
      <c r="H25">
        <v>1.7</v>
      </c>
      <c r="I25" t="s">
        <v>42</v>
      </c>
      <c r="J25">
        <v>9</v>
      </c>
      <c r="K25">
        <v>8</v>
      </c>
      <c r="L25">
        <v>7</v>
      </c>
    </row>
    <row r="26" spans="1:12" x14ac:dyDescent="0.3">
      <c r="A26">
        <v>18</v>
      </c>
      <c r="B26" t="s">
        <v>36</v>
      </c>
      <c r="C26">
        <v>2.4</v>
      </c>
      <c r="D26" t="s">
        <v>29</v>
      </c>
      <c r="E26">
        <v>6.7</v>
      </c>
      <c r="F26">
        <v>1.9</v>
      </c>
      <c r="G26">
        <v>2.5299999999999998</v>
      </c>
      <c r="H26">
        <v>0.4</v>
      </c>
      <c r="I26" t="s">
        <v>30</v>
      </c>
      <c r="J26">
        <v>8</v>
      </c>
      <c r="K26">
        <v>8</v>
      </c>
      <c r="L26">
        <v>2</v>
      </c>
    </row>
    <row r="27" spans="1:12" x14ac:dyDescent="0.3">
      <c r="A27">
        <v>13</v>
      </c>
      <c r="B27" t="s">
        <v>36</v>
      </c>
      <c r="C27">
        <v>1.5</v>
      </c>
      <c r="D27" t="s">
        <v>29</v>
      </c>
      <c r="E27">
        <v>7.2</v>
      </c>
      <c r="F27">
        <v>2.5</v>
      </c>
      <c r="G27">
        <v>2.15</v>
      </c>
      <c r="H27">
        <v>1.3</v>
      </c>
      <c r="I27" t="s">
        <v>42</v>
      </c>
      <c r="J27">
        <v>4</v>
      </c>
      <c r="K27">
        <v>6</v>
      </c>
      <c r="L27">
        <v>2</v>
      </c>
    </row>
    <row r="28" spans="1:12" x14ac:dyDescent="0.3">
      <c r="A28">
        <v>14</v>
      </c>
      <c r="B28" t="s">
        <v>36</v>
      </c>
      <c r="C28">
        <v>5.7</v>
      </c>
      <c r="D28" t="s">
        <v>29</v>
      </c>
      <c r="E28">
        <v>8.6999999999999993</v>
      </c>
      <c r="F28">
        <v>0.6</v>
      </c>
      <c r="G28">
        <v>2.64</v>
      </c>
      <c r="H28">
        <v>0.1</v>
      </c>
      <c r="I28" t="s">
        <v>39</v>
      </c>
      <c r="J28">
        <v>8</v>
      </c>
      <c r="K28">
        <v>9</v>
      </c>
      <c r="L28">
        <v>4</v>
      </c>
    </row>
    <row r="29" spans="1:12" x14ac:dyDescent="0.3">
      <c r="A29">
        <v>19</v>
      </c>
      <c r="B29" t="s">
        <v>44</v>
      </c>
      <c r="C29">
        <v>2</v>
      </c>
      <c r="D29" t="s">
        <v>32</v>
      </c>
      <c r="E29">
        <v>7.1</v>
      </c>
      <c r="F29">
        <v>0.9</v>
      </c>
      <c r="G29">
        <v>3.26</v>
      </c>
      <c r="H29">
        <v>1.6</v>
      </c>
      <c r="I29" t="s">
        <v>30</v>
      </c>
      <c r="J29">
        <v>7</v>
      </c>
      <c r="K29">
        <v>5</v>
      </c>
      <c r="L29">
        <v>9</v>
      </c>
    </row>
    <row r="30" spans="1:12" x14ac:dyDescent="0.3">
      <c r="A30">
        <v>14</v>
      </c>
      <c r="B30" t="s">
        <v>44</v>
      </c>
      <c r="C30">
        <v>2.5</v>
      </c>
      <c r="D30" t="s">
        <v>32</v>
      </c>
      <c r="E30">
        <v>5.6</v>
      </c>
      <c r="F30">
        <v>2.9</v>
      </c>
      <c r="G30">
        <v>2.2400000000000002</v>
      </c>
      <c r="H30">
        <v>0.5</v>
      </c>
      <c r="I30" t="s">
        <v>39</v>
      </c>
      <c r="J30">
        <v>3</v>
      </c>
      <c r="K30">
        <v>9</v>
      </c>
      <c r="L30">
        <v>5</v>
      </c>
    </row>
    <row r="31" spans="1:12" x14ac:dyDescent="0.3">
      <c r="A31">
        <v>16</v>
      </c>
      <c r="B31" t="s">
        <v>36</v>
      </c>
      <c r="C31">
        <v>3.4</v>
      </c>
      <c r="D31" t="s">
        <v>32</v>
      </c>
      <c r="E31">
        <v>7.8</v>
      </c>
      <c r="F31">
        <v>2.8</v>
      </c>
      <c r="G31">
        <v>3.83</v>
      </c>
      <c r="H31">
        <v>1.8</v>
      </c>
      <c r="I31" t="s">
        <v>42</v>
      </c>
      <c r="J31">
        <v>6</v>
      </c>
      <c r="K31">
        <v>6</v>
      </c>
      <c r="L31">
        <v>4</v>
      </c>
    </row>
    <row r="32" spans="1:12" x14ac:dyDescent="0.3">
      <c r="A32">
        <v>13</v>
      </c>
      <c r="B32" t="s">
        <v>44</v>
      </c>
      <c r="C32">
        <v>6.6</v>
      </c>
      <c r="D32" t="s">
        <v>32</v>
      </c>
      <c r="E32">
        <v>5.7</v>
      </c>
      <c r="F32">
        <v>2.5</v>
      </c>
      <c r="G32">
        <v>2.67</v>
      </c>
      <c r="H32">
        <v>1.1000000000000001</v>
      </c>
      <c r="I32" t="s">
        <v>39</v>
      </c>
      <c r="J32">
        <v>2</v>
      </c>
      <c r="K32">
        <v>1</v>
      </c>
      <c r="L32">
        <v>10</v>
      </c>
    </row>
    <row r="33" spans="1:12" x14ac:dyDescent="0.3">
      <c r="A33">
        <v>13</v>
      </c>
      <c r="B33" t="s">
        <v>36</v>
      </c>
      <c r="C33">
        <v>1.6</v>
      </c>
      <c r="D33" t="s">
        <v>43</v>
      </c>
      <c r="E33">
        <v>8.6999999999999993</v>
      </c>
      <c r="F33">
        <v>2.5</v>
      </c>
      <c r="G33">
        <v>3.69</v>
      </c>
      <c r="H33">
        <v>0.4</v>
      </c>
      <c r="I33" t="s">
        <v>30</v>
      </c>
      <c r="J33">
        <v>8</v>
      </c>
      <c r="K33">
        <v>2</v>
      </c>
      <c r="L33">
        <v>9</v>
      </c>
    </row>
    <row r="34" spans="1:12" x14ac:dyDescent="0.3">
      <c r="A34">
        <v>16</v>
      </c>
      <c r="B34" t="s">
        <v>44</v>
      </c>
      <c r="C34">
        <v>2.7</v>
      </c>
      <c r="D34" t="s">
        <v>43</v>
      </c>
      <c r="E34">
        <v>4.2</v>
      </c>
      <c r="F34">
        <v>2.4</v>
      </c>
      <c r="G34">
        <v>3.05</v>
      </c>
      <c r="H34">
        <v>0.2</v>
      </c>
      <c r="I34" t="s">
        <v>30</v>
      </c>
      <c r="J34">
        <v>1</v>
      </c>
      <c r="K34">
        <v>8</v>
      </c>
      <c r="L34">
        <v>4</v>
      </c>
    </row>
    <row r="35" spans="1:12" x14ac:dyDescent="0.3">
      <c r="A35">
        <v>14</v>
      </c>
      <c r="B35" t="s">
        <v>44</v>
      </c>
      <c r="C35">
        <v>4.0999999999999996</v>
      </c>
      <c r="D35" t="s">
        <v>32</v>
      </c>
      <c r="E35">
        <v>8</v>
      </c>
      <c r="F35">
        <v>3</v>
      </c>
      <c r="G35">
        <v>2.31</v>
      </c>
      <c r="H35">
        <v>0.8</v>
      </c>
      <c r="I35" t="s">
        <v>39</v>
      </c>
      <c r="J35">
        <v>8</v>
      </c>
      <c r="K35">
        <v>4</v>
      </c>
      <c r="L35">
        <v>1</v>
      </c>
    </row>
    <row r="36" spans="1:12" x14ac:dyDescent="0.3">
      <c r="A36">
        <v>13</v>
      </c>
      <c r="B36" t="s">
        <v>36</v>
      </c>
      <c r="C36">
        <v>6.6</v>
      </c>
      <c r="D36" t="s">
        <v>32</v>
      </c>
      <c r="E36">
        <v>7.3</v>
      </c>
      <c r="F36">
        <v>1.6</v>
      </c>
      <c r="G36">
        <v>3.27</v>
      </c>
      <c r="H36">
        <v>0.1</v>
      </c>
      <c r="I36" t="s">
        <v>42</v>
      </c>
      <c r="J36">
        <v>10</v>
      </c>
      <c r="K36">
        <v>2</v>
      </c>
      <c r="L36">
        <v>1</v>
      </c>
    </row>
    <row r="37" spans="1:12" x14ac:dyDescent="0.3">
      <c r="A37">
        <v>17</v>
      </c>
      <c r="B37" t="s">
        <v>36</v>
      </c>
      <c r="C37">
        <v>5</v>
      </c>
      <c r="D37" t="s">
        <v>29</v>
      </c>
      <c r="E37">
        <v>4.9000000000000004</v>
      </c>
      <c r="F37">
        <v>2.1</v>
      </c>
      <c r="G37">
        <v>2.0099999999999998</v>
      </c>
      <c r="H37">
        <v>1</v>
      </c>
      <c r="I37" t="s">
        <v>39</v>
      </c>
      <c r="J37">
        <v>9</v>
      </c>
      <c r="K37">
        <v>4</v>
      </c>
      <c r="L37">
        <v>9</v>
      </c>
    </row>
    <row r="38" spans="1:12" x14ac:dyDescent="0.3">
      <c r="A38">
        <v>19</v>
      </c>
      <c r="B38" t="s">
        <v>36</v>
      </c>
      <c r="C38">
        <v>4.5999999999999996</v>
      </c>
      <c r="D38" t="s">
        <v>43</v>
      </c>
      <c r="E38">
        <v>5.5</v>
      </c>
      <c r="F38">
        <v>2.5</v>
      </c>
      <c r="G38">
        <v>3.96</v>
      </c>
      <c r="H38">
        <v>0.8</v>
      </c>
      <c r="I38" t="s">
        <v>30</v>
      </c>
      <c r="J38">
        <v>3</v>
      </c>
      <c r="K38">
        <v>10</v>
      </c>
      <c r="L38">
        <v>7</v>
      </c>
    </row>
    <row r="39" spans="1:12" x14ac:dyDescent="0.3">
      <c r="A39">
        <v>17</v>
      </c>
      <c r="B39" t="s">
        <v>36</v>
      </c>
      <c r="C39">
        <v>4.8</v>
      </c>
      <c r="D39" t="s">
        <v>43</v>
      </c>
      <c r="E39">
        <v>4.4000000000000004</v>
      </c>
      <c r="F39">
        <v>1.3</v>
      </c>
      <c r="G39">
        <v>2.02</v>
      </c>
      <c r="H39">
        <v>0.5</v>
      </c>
      <c r="I39" t="s">
        <v>39</v>
      </c>
      <c r="J39">
        <v>5</v>
      </c>
      <c r="K39">
        <v>10</v>
      </c>
      <c r="L39">
        <v>6</v>
      </c>
    </row>
    <row r="40" spans="1:12" x14ac:dyDescent="0.3">
      <c r="A40">
        <v>17</v>
      </c>
      <c r="B40" t="s">
        <v>36</v>
      </c>
      <c r="C40">
        <v>1.3</v>
      </c>
      <c r="D40" t="s">
        <v>32</v>
      </c>
      <c r="E40">
        <v>8</v>
      </c>
      <c r="F40">
        <v>2</v>
      </c>
      <c r="G40">
        <v>2.84</v>
      </c>
      <c r="H40">
        <v>1.8</v>
      </c>
      <c r="I40" t="s">
        <v>30</v>
      </c>
      <c r="J40">
        <v>1</v>
      </c>
      <c r="K40">
        <v>7</v>
      </c>
      <c r="L40">
        <v>8</v>
      </c>
    </row>
    <row r="41" spans="1:12" x14ac:dyDescent="0.3">
      <c r="A41">
        <v>17</v>
      </c>
      <c r="B41" t="s">
        <v>36</v>
      </c>
      <c r="C41">
        <v>6.3</v>
      </c>
      <c r="D41" t="s">
        <v>43</v>
      </c>
      <c r="E41">
        <v>4</v>
      </c>
      <c r="F41">
        <v>1</v>
      </c>
      <c r="G41">
        <v>2.4300000000000002</v>
      </c>
      <c r="H41">
        <v>1.2</v>
      </c>
      <c r="I41" t="s">
        <v>30</v>
      </c>
      <c r="J41">
        <v>1</v>
      </c>
      <c r="K41">
        <v>10</v>
      </c>
      <c r="L41">
        <v>9</v>
      </c>
    </row>
    <row r="42" spans="1:12" x14ac:dyDescent="0.3">
      <c r="A42">
        <v>14</v>
      </c>
      <c r="B42" t="s">
        <v>44</v>
      </c>
      <c r="C42">
        <v>6.4</v>
      </c>
      <c r="D42" t="s">
        <v>43</v>
      </c>
      <c r="E42">
        <v>5.7</v>
      </c>
      <c r="F42">
        <v>0.9</v>
      </c>
      <c r="G42">
        <v>2.06</v>
      </c>
      <c r="H42">
        <v>1.8</v>
      </c>
      <c r="I42" t="s">
        <v>30</v>
      </c>
      <c r="J42">
        <v>10</v>
      </c>
      <c r="K42">
        <v>4</v>
      </c>
      <c r="L42">
        <v>2</v>
      </c>
    </row>
    <row r="43" spans="1:12" x14ac:dyDescent="0.3">
      <c r="A43">
        <v>19</v>
      </c>
      <c r="B43" t="s">
        <v>44</v>
      </c>
      <c r="C43">
        <v>1.6</v>
      </c>
      <c r="D43" t="s">
        <v>43</v>
      </c>
      <c r="E43">
        <v>8.6</v>
      </c>
      <c r="F43">
        <v>2.4</v>
      </c>
      <c r="G43">
        <v>3.81</v>
      </c>
      <c r="H43">
        <v>0.4</v>
      </c>
      <c r="I43" t="s">
        <v>39</v>
      </c>
      <c r="J43">
        <v>10</v>
      </c>
      <c r="K43">
        <v>4</v>
      </c>
      <c r="L43">
        <v>1</v>
      </c>
    </row>
    <row r="44" spans="1:12" x14ac:dyDescent="0.3">
      <c r="A44">
        <v>14</v>
      </c>
      <c r="B44" t="s">
        <v>36</v>
      </c>
      <c r="C44">
        <v>7.3</v>
      </c>
      <c r="D44" t="s">
        <v>43</v>
      </c>
      <c r="E44">
        <v>7.7</v>
      </c>
      <c r="F44">
        <v>1.4</v>
      </c>
      <c r="G44">
        <v>3.42</v>
      </c>
      <c r="H44">
        <v>0.3</v>
      </c>
      <c r="I44" t="s">
        <v>42</v>
      </c>
      <c r="J44">
        <v>6</v>
      </c>
      <c r="K44">
        <v>1</v>
      </c>
      <c r="L44">
        <v>8</v>
      </c>
    </row>
    <row r="45" spans="1:12" x14ac:dyDescent="0.3">
      <c r="A45">
        <v>15</v>
      </c>
      <c r="B45" t="s">
        <v>44</v>
      </c>
      <c r="C45">
        <v>4</v>
      </c>
      <c r="D45" t="s">
        <v>29</v>
      </c>
      <c r="E45">
        <v>8.8000000000000007</v>
      </c>
      <c r="F45">
        <v>1.3</v>
      </c>
      <c r="G45">
        <v>3.59</v>
      </c>
      <c r="H45">
        <v>1.9</v>
      </c>
      <c r="I45" t="s">
        <v>42</v>
      </c>
      <c r="J45">
        <v>10</v>
      </c>
      <c r="K45">
        <v>6</v>
      </c>
      <c r="L45">
        <v>10</v>
      </c>
    </row>
    <row r="46" spans="1:12" x14ac:dyDescent="0.3">
      <c r="A46">
        <v>14</v>
      </c>
      <c r="B46" t="s">
        <v>44</v>
      </c>
      <c r="C46">
        <v>5.2</v>
      </c>
      <c r="D46" t="s">
        <v>29</v>
      </c>
      <c r="E46">
        <v>4.0999999999999996</v>
      </c>
      <c r="F46">
        <v>2.1</v>
      </c>
      <c r="G46">
        <v>3.07</v>
      </c>
      <c r="H46">
        <v>0.2</v>
      </c>
      <c r="I46" t="s">
        <v>42</v>
      </c>
      <c r="J46">
        <v>9</v>
      </c>
      <c r="K46">
        <v>3</v>
      </c>
      <c r="L46">
        <v>8</v>
      </c>
    </row>
    <row r="47" spans="1:12" x14ac:dyDescent="0.3">
      <c r="A47">
        <v>14</v>
      </c>
      <c r="B47" t="s">
        <v>36</v>
      </c>
      <c r="C47">
        <v>4.5</v>
      </c>
      <c r="D47" t="s">
        <v>32</v>
      </c>
      <c r="E47">
        <v>4.8</v>
      </c>
      <c r="F47">
        <v>0.9</v>
      </c>
      <c r="G47">
        <v>2.2200000000000002</v>
      </c>
      <c r="H47">
        <v>0.8</v>
      </c>
      <c r="I47" t="s">
        <v>39</v>
      </c>
      <c r="J47">
        <v>1</v>
      </c>
      <c r="K47">
        <v>4</v>
      </c>
      <c r="L47">
        <v>10</v>
      </c>
    </row>
    <row r="48" spans="1:12" x14ac:dyDescent="0.3">
      <c r="A48">
        <v>18</v>
      </c>
      <c r="B48" t="s">
        <v>44</v>
      </c>
      <c r="C48">
        <v>6.8</v>
      </c>
      <c r="D48" t="s">
        <v>32</v>
      </c>
      <c r="E48">
        <v>8.6</v>
      </c>
      <c r="F48">
        <v>1.1000000000000001</v>
      </c>
      <c r="G48">
        <v>2.36</v>
      </c>
      <c r="H48">
        <v>1.6</v>
      </c>
      <c r="I48" t="s">
        <v>30</v>
      </c>
      <c r="J48">
        <v>1</v>
      </c>
      <c r="K48">
        <v>10</v>
      </c>
      <c r="L48">
        <v>10</v>
      </c>
    </row>
    <row r="49" spans="1:12" x14ac:dyDescent="0.3">
      <c r="A49">
        <v>13</v>
      </c>
      <c r="B49" t="s">
        <v>36</v>
      </c>
      <c r="C49">
        <v>3.5</v>
      </c>
      <c r="D49" t="s">
        <v>43</v>
      </c>
      <c r="E49">
        <v>5.0999999999999996</v>
      </c>
      <c r="F49">
        <v>1.1000000000000001</v>
      </c>
      <c r="G49">
        <v>2.27</v>
      </c>
      <c r="H49">
        <v>1.8</v>
      </c>
      <c r="I49" t="s">
        <v>42</v>
      </c>
      <c r="J49">
        <v>2</v>
      </c>
      <c r="K49">
        <v>5</v>
      </c>
      <c r="L49">
        <v>6</v>
      </c>
    </row>
    <row r="50" spans="1:12" x14ac:dyDescent="0.3">
      <c r="A50">
        <v>16</v>
      </c>
      <c r="B50" t="s">
        <v>44</v>
      </c>
      <c r="C50">
        <v>2.2999999999999998</v>
      </c>
      <c r="D50" t="s">
        <v>32</v>
      </c>
      <c r="E50">
        <v>6.3</v>
      </c>
      <c r="F50">
        <v>3</v>
      </c>
      <c r="G50">
        <v>3.24</v>
      </c>
      <c r="H50">
        <v>1.9</v>
      </c>
      <c r="I50" t="s">
        <v>42</v>
      </c>
      <c r="J50">
        <v>4</v>
      </c>
      <c r="K50">
        <v>4</v>
      </c>
      <c r="L50">
        <v>9</v>
      </c>
    </row>
    <row r="51" spans="1:12" x14ac:dyDescent="0.3">
      <c r="A51">
        <v>14</v>
      </c>
      <c r="B51" t="s">
        <v>44</v>
      </c>
      <c r="C51">
        <v>1.2</v>
      </c>
      <c r="D51" t="s">
        <v>43</v>
      </c>
      <c r="E51">
        <v>8.5</v>
      </c>
      <c r="F51">
        <v>1.8</v>
      </c>
      <c r="G51">
        <v>3.65</v>
      </c>
      <c r="H51">
        <v>1.8</v>
      </c>
      <c r="I51" t="s">
        <v>30</v>
      </c>
      <c r="J51">
        <v>5</v>
      </c>
      <c r="K51">
        <v>10</v>
      </c>
      <c r="L51">
        <v>10</v>
      </c>
    </row>
    <row r="52" spans="1:12" x14ac:dyDescent="0.3">
      <c r="A52">
        <v>13</v>
      </c>
      <c r="B52" t="s">
        <v>44</v>
      </c>
      <c r="C52">
        <v>6.2</v>
      </c>
      <c r="D52" t="s">
        <v>29</v>
      </c>
      <c r="E52">
        <v>7.1</v>
      </c>
      <c r="F52">
        <v>2.2000000000000002</v>
      </c>
      <c r="G52">
        <v>3.43</v>
      </c>
      <c r="H52">
        <v>0.2</v>
      </c>
      <c r="I52" t="s">
        <v>42</v>
      </c>
      <c r="J52">
        <v>5</v>
      </c>
      <c r="K52">
        <v>2</v>
      </c>
      <c r="L52">
        <v>2</v>
      </c>
    </row>
    <row r="53" spans="1:12" x14ac:dyDescent="0.3">
      <c r="A53">
        <v>18</v>
      </c>
      <c r="B53" t="s">
        <v>44</v>
      </c>
      <c r="C53">
        <v>4.5</v>
      </c>
      <c r="D53" t="s">
        <v>32</v>
      </c>
      <c r="E53">
        <v>4.0999999999999996</v>
      </c>
      <c r="F53">
        <v>1.9</v>
      </c>
      <c r="G53">
        <v>3.42</v>
      </c>
      <c r="H53">
        <v>0.1</v>
      </c>
      <c r="I53" t="s">
        <v>42</v>
      </c>
      <c r="J53">
        <v>6</v>
      </c>
      <c r="K53">
        <v>7</v>
      </c>
      <c r="L53">
        <v>8</v>
      </c>
    </row>
    <row r="54" spans="1:12" x14ac:dyDescent="0.3">
      <c r="A54">
        <v>18</v>
      </c>
      <c r="B54" t="s">
        <v>44</v>
      </c>
      <c r="C54">
        <v>2.9</v>
      </c>
      <c r="D54" t="s">
        <v>43</v>
      </c>
      <c r="E54">
        <v>4.5</v>
      </c>
      <c r="F54">
        <v>2.5</v>
      </c>
      <c r="G54">
        <v>3.16</v>
      </c>
      <c r="H54">
        <v>1.3</v>
      </c>
      <c r="I54" t="s">
        <v>39</v>
      </c>
      <c r="J54">
        <v>3</v>
      </c>
      <c r="K54">
        <v>7</v>
      </c>
      <c r="L54">
        <v>8</v>
      </c>
    </row>
    <row r="55" spans="1:12" x14ac:dyDescent="0.3">
      <c r="A55">
        <v>13</v>
      </c>
      <c r="B55" t="s">
        <v>36</v>
      </c>
      <c r="C55">
        <v>5.8</v>
      </c>
      <c r="D55" t="s">
        <v>32</v>
      </c>
      <c r="E55">
        <v>8.5</v>
      </c>
      <c r="F55">
        <v>2.2999999999999998</v>
      </c>
      <c r="G55">
        <v>3.3</v>
      </c>
      <c r="H55">
        <v>1.9</v>
      </c>
      <c r="I55" t="s">
        <v>30</v>
      </c>
      <c r="J55">
        <v>1</v>
      </c>
      <c r="K55">
        <v>1</v>
      </c>
      <c r="L55">
        <v>5</v>
      </c>
    </row>
    <row r="56" spans="1:12" x14ac:dyDescent="0.3">
      <c r="A56">
        <v>18</v>
      </c>
      <c r="B56" t="s">
        <v>44</v>
      </c>
      <c r="C56">
        <v>6.8</v>
      </c>
      <c r="D56" t="s">
        <v>43</v>
      </c>
      <c r="E56">
        <v>6.5</v>
      </c>
      <c r="F56">
        <v>2.7</v>
      </c>
      <c r="G56">
        <v>2.97</v>
      </c>
      <c r="H56">
        <v>1.9</v>
      </c>
      <c r="I56" t="s">
        <v>39</v>
      </c>
      <c r="J56">
        <v>4</v>
      </c>
      <c r="K56">
        <v>4</v>
      </c>
      <c r="L56">
        <v>5</v>
      </c>
    </row>
    <row r="57" spans="1:12" x14ac:dyDescent="0.3">
      <c r="A57">
        <v>15</v>
      </c>
      <c r="B57" t="s">
        <v>36</v>
      </c>
      <c r="C57">
        <v>7.4</v>
      </c>
      <c r="D57" t="s">
        <v>43</v>
      </c>
      <c r="E57">
        <v>8.6</v>
      </c>
      <c r="F57">
        <v>0.9</v>
      </c>
      <c r="G57">
        <v>2.2999999999999998</v>
      </c>
      <c r="H57">
        <v>0</v>
      </c>
      <c r="I57" t="s">
        <v>39</v>
      </c>
      <c r="J57">
        <v>1</v>
      </c>
      <c r="K57">
        <v>5</v>
      </c>
      <c r="L57">
        <v>3</v>
      </c>
    </row>
    <row r="58" spans="1:12" x14ac:dyDescent="0.3">
      <c r="A58">
        <v>18</v>
      </c>
      <c r="B58" t="s">
        <v>44</v>
      </c>
      <c r="C58">
        <v>4.5</v>
      </c>
      <c r="D58" t="s">
        <v>32</v>
      </c>
      <c r="E58">
        <v>5</v>
      </c>
      <c r="F58">
        <v>2.5</v>
      </c>
      <c r="G58">
        <v>2.65</v>
      </c>
      <c r="H58">
        <v>0.7</v>
      </c>
      <c r="I58" t="s">
        <v>42</v>
      </c>
      <c r="J58">
        <v>8</v>
      </c>
      <c r="K58">
        <v>9</v>
      </c>
      <c r="L58">
        <v>1</v>
      </c>
    </row>
    <row r="59" spans="1:12" x14ac:dyDescent="0.3">
      <c r="A59">
        <v>16</v>
      </c>
      <c r="B59" t="s">
        <v>44</v>
      </c>
      <c r="C59">
        <v>6.4</v>
      </c>
      <c r="D59" t="s">
        <v>32</v>
      </c>
      <c r="E59">
        <v>5.3</v>
      </c>
      <c r="F59">
        <v>2.4</v>
      </c>
      <c r="G59">
        <v>2.0299999999999998</v>
      </c>
      <c r="H59">
        <v>1.7</v>
      </c>
      <c r="I59" t="s">
        <v>42</v>
      </c>
      <c r="J59">
        <v>7</v>
      </c>
      <c r="K59">
        <v>5</v>
      </c>
      <c r="L59">
        <v>10</v>
      </c>
    </row>
    <row r="60" spans="1:12" x14ac:dyDescent="0.3">
      <c r="A60">
        <v>13</v>
      </c>
      <c r="B60" t="s">
        <v>44</v>
      </c>
      <c r="C60">
        <v>7.3</v>
      </c>
      <c r="D60" t="s">
        <v>29</v>
      </c>
      <c r="E60">
        <v>4.2</v>
      </c>
      <c r="F60">
        <v>1.3</v>
      </c>
      <c r="G60">
        <v>2.16</v>
      </c>
      <c r="H60">
        <v>1</v>
      </c>
      <c r="I60" t="s">
        <v>30</v>
      </c>
      <c r="J60">
        <v>4</v>
      </c>
      <c r="K60">
        <v>5</v>
      </c>
      <c r="L60">
        <v>2</v>
      </c>
    </row>
    <row r="61" spans="1:12" x14ac:dyDescent="0.3">
      <c r="A61">
        <v>17</v>
      </c>
      <c r="B61" t="s">
        <v>36</v>
      </c>
      <c r="C61">
        <v>7.1</v>
      </c>
      <c r="D61" t="s">
        <v>43</v>
      </c>
      <c r="E61">
        <v>5.6</v>
      </c>
      <c r="F61">
        <v>0.6</v>
      </c>
      <c r="G61">
        <v>3.07</v>
      </c>
      <c r="H61">
        <v>1</v>
      </c>
      <c r="I61" t="s">
        <v>42</v>
      </c>
      <c r="J61">
        <v>1</v>
      </c>
      <c r="K61">
        <v>3</v>
      </c>
      <c r="L61">
        <v>7</v>
      </c>
    </row>
    <row r="62" spans="1:12" x14ac:dyDescent="0.3">
      <c r="A62">
        <v>18</v>
      </c>
      <c r="B62" t="s">
        <v>44</v>
      </c>
      <c r="C62">
        <v>1.6</v>
      </c>
      <c r="D62" t="s">
        <v>32</v>
      </c>
      <c r="E62">
        <v>5.0999999999999996</v>
      </c>
      <c r="F62">
        <v>2.7</v>
      </c>
      <c r="G62">
        <v>3.57</v>
      </c>
      <c r="H62">
        <v>0.8</v>
      </c>
      <c r="I62" t="s">
        <v>30</v>
      </c>
      <c r="J62">
        <v>3</v>
      </c>
      <c r="K62">
        <v>9</v>
      </c>
      <c r="L62">
        <v>7</v>
      </c>
    </row>
    <row r="63" spans="1:12" x14ac:dyDescent="0.3">
      <c r="A63">
        <v>15</v>
      </c>
      <c r="B63" t="s">
        <v>36</v>
      </c>
      <c r="C63">
        <v>1.5</v>
      </c>
      <c r="D63" t="s">
        <v>43</v>
      </c>
      <c r="E63">
        <v>4.7</v>
      </c>
      <c r="F63">
        <v>1</v>
      </c>
      <c r="G63">
        <v>3.82</v>
      </c>
      <c r="H63">
        <v>0.6</v>
      </c>
      <c r="I63" t="s">
        <v>42</v>
      </c>
      <c r="J63">
        <v>6</v>
      </c>
      <c r="K63">
        <v>1</v>
      </c>
      <c r="L63">
        <v>4</v>
      </c>
    </row>
    <row r="64" spans="1:12" x14ac:dyDescent="0.3">
      <c r="A64">
        <v>13</v>
      </c>
      <c r="B64" t="s">
        <v>44</v>
      </c>
      <c r="C64">
        <v>4.3</v>
      </c>
      <c r="D64" t="s">
        <v>29</v>
      </c>
      <c r="E64">
        <v>5.8</v>
      </c>
      <c r="F64">
        <v>0.7</v>
      </c>
      <c r="G64">
        <v>3.15</v>
      </c>
      <c r="H64">
        <v>0.1</v>
      </c>
      <c r="I64" t="s">
        <v>42</v>
      </c>
      <c r="J64">
        <v>7</v>
      </c>
      <c r="K64">
        <v>2</v>
      </c>
      <c r="L64">
        <v>1</v>
      </c>
    </row>
    <row r="65" spans="1:12" x14ac:dyDescent="0.3">
      <c r="A65">
        <v>17</v>
      </c>
      <c r="B65" t="s">
        <v>44</v>
      </c>
      <c r="C65">
        <v>2.5</v>
      </c>
      <c r="D65" t="s">
        <v>29</v>
      </c>
      <c r="E65">
        <v>6.7</v>
      </c>
      <c r="F65">
        <v>2</v>
      </c>
      <c r="G65">
        <v>2.56</v>
      </c>
      <c r="H65">
        <v>1.7</v>
      </c>
      <c r="I65" t="s">
        <v>30</v>
      </c>
      <c r="J65">
        <v>5</v>
      </c>
      <c r="K65">
        <v>7</v>
      </c>
      <c r="L65">
        <v>5</v>
      </c>
    </row>
    <row r="66" spans="1:12" x14ac:dyDescent="0.3">
      <c r="A66">
        <v>19</v>
      </c>
      <c r="B66" t="s">
        <v>36</v>
      </c>
      <c r="C66">
        <v>7.9</v>
      </c>
      <c r="D66" t="s">
        <v>32</v>
      </c>
      <c r="E66">
        <v>5.0999999999999996</v>
      </c>
      <c r="F66">
        <v>1.7</v>
      </c>
      <c r="G66">
        <v>2.8</v>
      </c>
      <c r="H66">
        <v>0.8</v>
      </c>
      <c r="I66" t="s">
        <v>39</v>
      </c>
      <c r="J66">
        <v>6</v>
      </c>
      <c r="K66">
        <v>1</v>
      </c>
      <c r="L66">
        <v>8</v>
      </c>
    </row>
    <row r="67" spans="1:12" x14ac:dyDescent="0.3">
      <c r="A67">
        <v>17</v>
      </c>
      <c r="B67" t="s">
        <v>44</v>
      </c>
      <c r="C67">
        <v>2.7</v>
      </c>
      <c r="D67" t="s">
        <v>43</v>
      </c>
      <c r="E67">
        <v>8</v>
      </c>
      <c r="F67">
        <v>2.6</v>
      </c>
      <c r="G67">
        <v>3.53</v>
      </c>
      <c r="H67">
        <v>1.9</v>
      </c>
      <c r="I67" t="s">
        <v>30</v>
      </c>
      <c r="J67">
        <v>1</v>
      </c>
      <c r="K67">
        <v>8</v>
      </c>
      <c r="L67">
        <v>7</v>
      </c>
    </row>
    <row r="68" spans="1:12" x14ac:dyDescent="0.3">
      <c r="A68">
        <v>13</v>
      </c>
      <c r="B68" t="s">
        <v>44</v>
      </c>
      <c r="C68">
        <v>3.1</v>
      </c>
      <c r="D68" t="s">
        <v>32</v>
      </c>
      <c r="E68">
        <v>8.1999999999999993</v>
      </c>
      <c r="F68">
        <v>1.5</v>
      </c>
      <c r="G68">
        <v>2.4500000000000002</v>
      </c>
      <c r="H68">
        <v>0.3</v>
      </c>
      <c r="I68" t="s">
        <v>39</v>
      </c>
      <c r="J68">
        <v>5</v>
      </c>
      <c r="K68">
        <v>8</v>
      </c>
      <c r="L68">
        <v>6</v>
      </c>
    </row>
    <row r="69" spans="1:12" x14ac:dyDescent="0.3">
      <c r="A69">
        <v>17</v>
      </c>
      <c r="B69" t="s">
        <v>44</v>
      </c>
      <c r="C69">
        <v>5.8</v>
      </c>
      <c r="D69" t="s">
        <v>29</v>
      </c>
      <c r="E69">
        <v>7.6</v>
      </c>
      <c r="F69">
        <v>0.7</v>
      </c>
      <c r="G69">
        <v>2.83</v>
      </c>
      <c r="H69">
        <v>1</v>
      </c>
      <c r="I69" t="s">
        <v>42</v>
      </c>
      <c r="J69">
        <v>7</v>
      </c>
      <c r="K69">
        <v>6</v>
      </c>
      <c r="L69">
        <v>8</v>
      </c>
    </row>
    <row r="70" spans="1:12" x14ac:dyDescent="0.3">
      <c r="A70">
        <v>14</v>
      </c>
      <c r="B70" t="s">
        <v>36</v>
      </c>
      <c r="C70">
        <v>3.9</v>
      </c>
      <c r="D70" t="s">
        <v>29</v>
      </c>
      <c r="E70">
        <v>7</v>
      </c>
      <c r="F70">
        <v>2.8</v>
      </c>
      <c r="G70">
        <v>2.8</v>
      </c>
      <c r="H70">
        <v>0.1</v>
      </c>
      <c r="I70" t="s">
        <v>39</v>
      </c>
      <c r="J70">
        <v>8</v>
      </c>
      <c r="K70">
        <v>2</v>
      </c>
      <c r="L70">
        <v>8</v>
      </c>
    </row>
    <row r="71" spans="1:12" x14ac:dyDescent="0.3">
      <c r="A71">
        <v>15</v>
      </c>
      <c r="B71" t="s">
        <v>44</v>
      </c>
      <c r="C71">
        <v>7.5</v>
      </c>
      <c r="D71" t="s">
        <v>29</v>
      </c>
      <c r="E71">
        <v>7</v>
      </c>
      <c r="F71">
        <v>0.9</v>
      </c>
      <c r="G71">
        <v>3.48</v>
      </c>
      <c r="H71">
        <v>1.1000000000000001</v>
      </c>
      <c r="I71" t="s">
        <v>30</v>
      </c>
      <c r="J71">
        <v>2</v>
      </c>
      <c r="K71">
        <v>2</v>
      </c>
      <c r="L71">
        <v>6</v>
      </c>
    </row>
    <row r="72" spans="1:12" x14ac:dyDescent="0.3">
      <c r="A72">
        <v>14</v>
      </c>
      <c r="B72" t="s">
        <v>44</v>
      </c>
      <c r="C72">
        <v>5.2</v>
      </c>
      <c r="D72" t="s">
        <v>29</v>
      </c>
      <c r="E72">
        <v>6.7</v>
      </c>
      <c r="F72">
        <v>2</v>
      </c>
      <c r="G72">
        <v>3.48</v>
      </c>
      <c r="H72">
        <v>1</v>
      </c>
      <c r="I72" t="s">
        <v>42</v>
      </c>
      <c r="J72">
        <v>2</v>
      </c>
      <c r="K72">
        <v>1</v>
      </c>
      <c r="L72">
        <v>5</v>
      </c>
    </row>
    <row r="73" spans="1:12" x14ac:dyDescent="0.3">
      <c r="A73">
        <v>16</v>
      </c>
      <c r="B73" t="s">
        <v>36</v>
      </c>
      <c r="C73">
        <v>3.1</v>
      </c>
      <c r="D73" t="s">
        <v>32</v>
      </c>
      <c r="E73">
        <v>5</v>
      </c>
      <c r="F73">
        <v>1.1000000000000001</v>
      </c>
      <c r="G73">
        <v>2.73</v>
      </c>
      <c r="H73">
        <v>1.6</v>
      </c>
      <c r="I73" t="s">
        <v>39</v>
      </c>
      <c r="J73">
        <v>2</v>
      </c>
      <c r="K73">
        <v>8</v>
      </c>
      <c r="L73">
        <v>1</v>
      </c>
    </row>
    <row r="74" spans="1:12" x14ac:dyDescent="0.3">
      <c r="A74">
        <v>16</v>
      </c>
      <c r="B74" t="s">
        <v>36</v>
      </c>
      <c r="C74">
        <v>2</v>
      </c>
      <c r="D74" t="s">
        <v>43</v>
      </c>
      <c r="E74">
        <v>8.6999999999999993</v>
      </c>
      <c r="F74">
        <v>1.2</v>
      </c>
      <c r="G74">
        <v>3</v>
      </c>
      <c r="H74">
        <v>0</v>
      </c>
      <c r="I74" t="s">
        <v>39</v>
      </c>
      <c r="J74">
        <v>8</v>
      </c>
      <c r="K74">
        <v>8</v>
      </c>
      <c r="L74">
        <v>4</v>
      </c>
    </row>
    <row r="75" spans="1:12" x14ac:dyDescent="0.3">
      <c r="A75">
        <v>14</v>
      </c>
      <c r="B75" t="s">
        <v>44</v>
      </c>
      <c r="C75">
        <v>2.7</v>
      </c>
      <c r="D75" t="s">
        <v>43</v>
      </c>
      <c r="E75">
        <v>8.4</v>
      </c>
      <c r="F75">
        <v>1.3</v>
      </c>
      <c r="G75">
        <v>2.0099999999999998</v>
      </c>
      <c r="H75">
        <v>0.6</v>
      </c>
      <c r="I75" t="s">
        <v>39</v>
      </c>
      <c r="J75">
        <v>6</v>
      </c>
      <c r="K75">
        <v>3</v>
      </c>
      <c r="L75">
        <v>8</v>
      </c>
    </row>
    <row r="76" spans="1:12" x14ac:dyDescent="0.3">
      <c r="A76">
        <v>14</v>
      </c>
      <c r="B76" t="s">
        <v>44</v>
      </c>
      <c r="C76">
        <v>1.5</v>
      </c>
      <c r="D76" t="s">
        <v>29</v>
      </c>
      <c r="E76">
        <v>4.3</v>
      </c>
      <c r="F76">
        <v>2.1</v>
      </c>
      <c r="G76">
        <v>3.9</v>
      </c>
      <c r="H76">
        <v>1.5</v>
      </c>
      <c r="I76" t="s">
        <v>39</v>
      </c>
      <c r="J76">
        <v>10</v>
      </c>
      <c r="K76">
        <v>2</v>
      </c>
      <c r="L76">
        <v>4</v>
      </c>
    </row>
    <row r="77" spans="1:12" x14ac:dyDescent="0.3">
      <c r="A77">
        <v>17</v>
      </c>
      <c r="B77" t="s">
        <v>36</v>
      </c>
      <c r="C77">
        <v>6.9</v>
      </c>
      <c r="D77" t="s">
        <v>43</v>
      </c>
      <c r="E77">
        <v>8.1999999999999993</v>
      </c>
      <c r="F77">
        <v>0.8</v>
      </c>
      <c r="G77">
        <v>2.36</v>
      </c>
      <c r="H77">
        <v>0</v>
      </c>
      <c r="I77" t="s">
        <v>42</v>
      </c>
      <c r="J77">
        <v>10</v>
      </c>
      <c r="K77">
        <v>10</v>
      </c>
      <c r="L77">
        <v>7</v>
      </c>
    </row>
    <row r="78" spans="1:12" x14ac:dyDescent="0.3">
      <c r="A78">
        <v>13</v>
      </c>
      <c r="B78" t="s">
        <v>44</v>
      </c>
      <c r="C78">
        <v>1.1000000000000001</v>
      </c>
      <c r="D78" t="s">
        <v>32</v>
      </c>
      <c r="E78">
        <v>7.1</v>
      </c>
      <c r="F78">
        <v>1.8</v>
      </c>
      <c r="G78">
        <v>2.5499999999999998</v>
      </c>
      <c r="H78">
        <v>0.8</v>
      </c>
      <c r="I78" t="s">
        <v>30</v>
      </c>
      <c r="J78">
        <v>5</v>
      </c>
      <c r="K78">
        <v>5</v>
      </c>
      <c r="L78">
        <v>10</v>
      </c>
    </row>
    <row r="79" spans="1:12" x14ac:dyDescent="0.3">
      <c r="A79">
        <v>13</v>
      </c>
      <c r="B79" t="s">
        <v>44</v>
      </c>
      <c r="C79">
        <v>3.4</v>
      </c>
      <c r="D79" t="s">
        <v>32</v>
      </c>
      <c r="E79">
        <v>4.4000000000000004</v>
      </c>
      <c r="F79">
        <v>0.6</v>
      </c>
      <c r="G79">
        <v>3.41</v>
      </c>
      <c r="H79">
        <v>0.2</v>
      </c>
      <c r="I79" t="s">
        <v>39</v>
      </c>
      <c r="J79">
        <v>8</v>
      </c>
      <c r="K79">
        <v>6</v>
      </c>
      <c r="L79">
        <v>3</v>
      </c>
    </row>
    <row r="80" spans="1:12" x14ac:dyDescent="0.3">
      <c r="A80">
        <v>15</v>
      </c>
      <c r="B80" t="s">
        <v>44</v>
      </c>
      <c r="C80">
        <v>6.7</v>
      </c>
      <c r="D80" t="s">
        <v>29</v>
      </c>
      <c r="E80">
        <v>4.5</v>
      </c>
      <c r="F80">
        <v>2.1</v>
      </c>
      <c r="G80">
        <v>3.71</v>
      </c>
      <c r="H80">
        <v>1.3</v>
      </c>
      <c r="I80" t="s">
        <v>30</v>
      </c>
      <c r="J80">
        <v>3</v>
      </c>
      <c r="K80">
        <v>3</v>
      </c>
      <c r="L80">
        <v>3</v>
      </c>
    </row>
    <row r="81" spans="1:12" x14ac:dyDescent="0.3">
      <c r="A81">
        <v>18</v>
      </c>
      <c r="B81" t="s">
        <v>44</v>
      </c>
      <c r="C81">
        <v>1.1000000000000001</v>
      </c>
      <c r="D81" t="s">
        <v>29</v>
      </c>
      <c r="E81">
        <v>7.2</v>
      </c>
      <c r="F81">
        <v>1</v>
      </c>
      <c r="G81">
        <v>3.13</v>
      </c>
      <c r="H81">
        <v>0.6</v>
      </c>
      <c r="I81" t="s">
        <v>42</v>
      </c>
      <c r="J81">
        <v>2</v>
      </c>
      <c r="K81">
        <v>1</v>
      </c>
      <c r="L81">
        <v>4</v>
      </c>
    </row>
    <row r="82" spans="1:12" x14ac:dyDescent="0.3">
      <c r="A82">
        <v>18</v>
      </c>
      <c r="B82" t="s">
        <v>36</v>
      </c>
      <c r="C82">
        <v>7.4</v>
      </c>
      <c r="D82" t="s">
        <v>43</v>
      </c>
      <c r="E82">
        <v>7.5</v>
      </c>
      <c r="F82">
        <v>2.2999999999999998</v>
      </c>
      <c r="G82">
        <v>2.39</v>
      </c>
      <c r="H82">
        <v>0.9</v>
      </c>
      <c r="I82" t="s">
        <v>30</v>
      </c>
      <c r="J82">
        <v>4</v>
      </c>
      <c r="K82">
        <v>1</v>
      </c>
      <c r="L82">
        <v>4</v>
      </c>
    </row>
    <row r="83" spans="1:12" x14ac:dyDescent="0.3">
      <c r="A83">
        <v>19</v>
      </c>
      <c r="B83" t="s">
        <v>36</v>
      </c>
      <c r="C83">
        <v>4.8</v>
      </c>
      <c r="D83" t="s">
        <v>32</v>
      </c>
      <c r="E83">
        <v>6</v>
      </c>
      <c r="F83">
        <v>1.5</v>
      </c>
      <c r="G83">
        <v>2.61</v>
      </c>
      <c r="H83">
        <v>1.2</v>
      </c>
      <c r="I83" t="s">
        <v>30</v>
      </c>
      <c r="J83">
        <v>2</v>
      </c>
      <c r="K83">
        <v>2</v>
      </c>
      <c r="L83">
        <v>6</v>
      </c>
    </row>
    <row r="84" spans="1:12" x14ac:dyDescent="0.3">
      <c r="A84">
        <v>14</v>
      </c>
      <c r="B84" t="s">
        <v>44</v>
      </c>
      <c r="C84">
        <v>1.2</v>
      </c>
      <c r="D84" t="s">
        <v>29</v>
      </c>
      <c r="E84">
        <v>5.2</v>
      </c>
      <c r="F84">
        <v>2.2000000000000002</v>
      </c>
      <c r="G84">
        <v>2.19</v>
      </c>
      <c r="H84">
        <v>1.9</v>
      </c>
      <c r="I84" t="s">
        <v>42</v>
      </c>
      <c r="J84">
        <v>9</v>
      </c>
      <c r="K84">
        <v>9</v>
      </c>
      <c r="L84">
        <v>4</v>
      </c>
    </row>
    <row r="85" spans="1:12" x14ac:dyDescent="0.3">
      <c r="A85">
        <v>13</v>
      </c>
      <c r="B85" t="s">
        <v>44</v>
      </c>
      <c r="C85">
        <v>7.4</v>
      </c>
      <c r="D85" t="s">
        <v>43</v>
      </c>
      <c r="E85">
        <v>5.6</v>
      </c>
      <c r="F85">
        <v>1.4</v>
      </c>
      <c r="G85">
        <v>2.95</v>
      </c>
      <c r="H85">
        <v>1.7</v>
      </c>
      <c r="I85" t="s">
        <v>30</v>
      </c>
      <c r="J85">
        <v>8</v>
      </c>
      <c r="K85">
        <v>5</v>
      </c>
      <c r="L85">
        <v>5</v>
      </c>
    </row>
    <row r="86" spans="1:12" x14ac:dyDescent="0.3">
      <c r="A86">
        <v>16</v>
      </c>
      <c r="B86" t="s">
        <v>36</v>
      </c>
      <c r="C86">
        <v>2.6</v>
      </c>
      <c r="D86" t="s">
        <v>29</v>
      </c>
      <c r="E86">
        <v>8.6</v>
      </c>
      <c r="F86">
        <v>1.3</v>
      </c>
      <c r="G86">
        <v>3.64</v>
      </c>
      <c r="H86">
        <v>1.6</v>
      </c>
      <c r="I86" t="s">
        <v>30</v>
      </c>
      <c r="J86">
        <v>5</v>
      </c>
      <c r="K86">
        <v>3</v>
      </c>
      <c r="L86">
        <v>1</v>
      </c>
    </row>
    <row r="87" spans="1:12" x14ac:dyDescent="0.3">
      <c r="A87">
        <v>17</v>
      </c>
      <c r="B87" t="s">
        <v>36</v>
      </c>
      <c r="C87">
        <v>5</v>
      </c>
      <c r="D87" t="s">
        <v>29</v>
      </c>
      <c r="E87">
        <v>9</v>
      </c>
      <c r="F87">
        <v>2.5</v>
      </c>
      <c r="G87">
        <v>3.4</v>
      </c>
      <c r="H87">
        <v>0.9</v>
      </c>
      <c r="I87" t="s">
        <v>30</v>
      </c>
      <c r="J87">
        <v>8</v>
      </c>
      <c r="K87">
        <v>10</v>
      </c>
      <c r="L87">
        <v>5</v>
      </c>
    </row>
    <row r="88" spans="1:12" x14ac:dyDescent="0.3">
      <c r="A88">
        <v>18</v>
      </c>
      <c r="B88" t="s">
        <v>44</v>
      </c>
      <c r="C88">
        <v>7.5</v>
      </c>
      <c r="D88" t="s">
        <v>43</v>
      </c>
      <c r="E88">
        <v>7.4</v>
      </c>
      <c r="F88">
        <v>1.8</v>
      </c>
      <c r="G88">
        <v>3.47</v>
      </c>
      <c r="H88">
        <v>0</v>
      </c>
      <c r="I88" t="s">
        <v>39</v>
      </c>
      <c r="J88">
        <v>9</v>
      </c>
      <c r="K88">
        <v>4</v>
      </c>
      <c r="L88">
        <v>2</v>
      </c>
    </row>
    <row r="89" spans="1:12" x14ac:dyDescent="0.3">
      <c r="A89">
        <v>17</v>
      </c>
      <c r="B89" t="s">
        <v>36</v>
      </c>
      <c r="C89">
        <v>5.4</v>
      </c>
      <c r="D89" t="s">
        <v>29</v>
      </c>
      <c r="E89">
        <v>5.7</v>
      </c>
      <c r="F89">
        <v>2.5</v>
      </c>
      <c r="G89">
        <v>3.13</v>
      </c>
      <c r="H89">
        <v>1.9</v>
      </c>
      <c r="I89" t="s">
        <v>42</v>
      </c>
      <c r="J89">
        <v>5</v>
      </c>
      <c r="K89">
        <v>10</v>
      </c>
      <c r="L89">
        <v>3</v>
      </c>
    </row>
    <row r="90" spans="1:12" x14ac:dyDescent="0.3">
      <c r="A90">
        <v>17</v>
      </c>
      <c r="B90" t="s">
        <v>36</v>
      </c>
      <c r="C90">
        <v>5.6</v>
      </c>
      <c r="D90" t="s">
        <v>43</v>
      </c>
      <c r="E90">
        <v>5.3</v>
      </c>
      <c r="F90">
        <v>1.7</v>
      </c>
      <c r="G90">
        <v>2.77</v>
      </c>
      <c r="H90">
        <v>0.9</v>
      </c>
      <c r="I90" t="s">
        <v>42</v>
      </c>
      <c r="J90">
        <v>8</v>
      </c>
      <c r="K90">
        <v>4</v>
      </c>
      <c r="L90">
        <v>8</v>
      </c>
    </row>
    <row r="91" spans="1:12" x14ac:dyDescent="0.3">
      <c r="A91">
        <v>18</v>
      </c>
      <c r="B91" t="s">
        <v>44</v>
      </c>
      <c r="C91">
        <v>6.2</v>
      </c>
      <c r="D91" t="s">
        <v>43</v>
      </c>
      <c r="E91">
        <v>4.0999999999999996</v>
      </c>
      <c r="F91">
        <v>2.8</v>
      </c>
      <c r="G91">
        <v>3.41</v>
      </c>
      <c r="H91">
        <v>1.1000000000000001</v>
      </c>
      <c r="I91" t="s">
        <v>42</v>
      </c>
      <c r="J91">
        <v>7</v>
      </c>
      <c r="K91">
        <v>8</v>
      </c>
      <c r="L91">
        <v>1</v>
      </c>
    </row>
    <row r="92" spans="1:12" x14ac:dyDescent="0.3">
      <c r="A92">
        <v>17</v>
      </c>
      <c r="B92" t="s">
        <v>36</v>
      </c>
      <c r="C92">
        <v>4.7</v>
      </c>
      <c r="D92" t="s">
        <v>43</v>
      </c>
      <c r="E92">
        <v>4.7</v>
      </c>
      <c r="F92">
        <v>2.4</v>
      </c>
      <c r="G92">
        <v>3.94</v>
      </c>
      <c r="H92">
        <v>0</v>
      </c>
      <c r="I92" t="s">
        <v>42</v>
      </c>
      <c r="J92">
        <v>10</v>
      </c>
      <c r="K92">
        <v>5</v>
      </c>
      <c r="L92">
        <v>8</v>
      </c>
    </row>
    <row r="93" spans="1:12" x14ac:dyDescent="0.3">
      <c r="A93">
        <v>18</v>
      </c>
      <c r="B93" t="s">
        <v>36</v>
      </c>
      <c r="C93">
        <v>4</v>
      </c>
      <c r="D93" t="s">
        <v>43</v>
      </c>
      <c r="E93">
        <v>4.5999999999999996</v>
      </c>
      <c r="F93">
        <v>2.2000000000000002</v>
      </c>
      <c r="G93">
        <v>3.7</v>
      </c>
      <c r="H93">
        <v>0.6</v>
      </c>
      <c r="I93" t="s">
        <v>42</v>
      </c>
      <c r="J93">
        <v>4</v>
      </c>
      <c r="K93">
        <v>1</v>
      </c>
      <c r="L93">
        <v>4</v>
      </c>
    </row>
    <row r="94" spans="1:12" x14ac:dyDescent="0.3">
      <c r="A94">
        <v>18</v>
      </c>
      <c r="B94" t="s">
        <v>44</v>
      </c>
      <c r="C94">
        <v>6.2</v>
      </c>
      <c r="D94" t="s">
        <v>32</v>
      </c>
      <c r="E94">
        <v>8.6</v>
      </c>
      <c r="F94">
        <v>1.5</v>
      </c>
      <c r="G94">
        <v>3.22</v>
      </c>
      <c r="H94">
        <v>1.6</v>
      </c>
      <c r="I94" t="s">
        <v>39</v>
      </c>
      <c r="J94">
        <v>4</v>
      </c>
      <c r="K94">
        <v>5</v>
      </c>
      <c r="L94">
        <v>7</v>
      </c>
    </row>
    <row r="95" spans="1:12" x14ac:dyDescent="0.3">
      <c r="A95">
        <v>17</v>
      </c>
      <c r="B95" t="s">
        <v>36</v>
      </c>
      <c r="C95">
        <v>5.6</v>
      </c>
      <c r="D95" t="s">
        <v>32</v>
      </c>
      <c r="E95">
        <v>6.8</v>
      </c>
      <c r="F95">
        <v>2</v>
      </c>
      <c r="G95">
        <v>2.2200000000000002</v>
      </c>
      <c r="H95">
        <v>1</v>
      </c>
      <c r="I95" t="s">
        <v>42</v>
      </c>
      <c r="J95">
        <v>6</v>
      </c>
      <c r="K95">
        <v>9</v>
      </c>
      <c r="L95">
        <v>8</v>
      </c>
    </row>
    <row r="96" spans="1:12" x14ac:dyDescent="0.3">
      <c r="A96">
        <v>13</v>
      </c>
      <c r="B96" t="s">
        <v>36</v>
      </c>
      <c r="C96">
        <v>4</v>
      </c>
      <c r="D96" t="s">
        <v>43</v>
      </c>
      <c r="E96">
        <v>4.4000000000000004</v>
      </c>
      <c r="F96">
        <v>2.5</v>
      </c>
      <c r="G96">
        <v>3.6</v>
      </c>
      <c r="H96">
        <v>1.4</v>
      </c>
      <c r="I96" t="s">
        <v>42</v>
      </c>
      <c r="J96">
        <v>7</v>
      </c>
      <c r="K96">
        <v>2</v>
      </c>
      <c r="L96">
        <v>10</v>
      </c>
    </row>
    <row r="97" spans="1:12" x14ac:dyDescent="0.3">
      <c r="A97">
        <v>15</v>
      </c>
      <c r="B97" t="s">
        <v>36</v>
      </c>
      <c r="C97">
        <v>1.8</v>
      </c>
      <c r="D97" t="s">
        <v>43</v>
      </c>
      <c r="E97">
        <v>6.4</v>
      </c>
      <c r="F97">
        <v>2.4</v>
      </c>
      <c r="G97">
        <v>2.16</v>
      </c>
      <c r="H97">
        <v>1.9</v>
      </c>
      <c r="I97" t="s">
        <v>42</v>
      </c>
      <c r="J97">
        <v>3</v>
      </c>
      <c r="K97">
        <v>6</v>
      </c>
      <c r="L97">
        <v>9</v>
      </c>
    </row>
    <row r="98" spans="1:12" x14ac:dyDescent="0.3">
      <c r="A98">
        <v>13</v>
      </c>
      <c r="B98" t="s">
        <v>44</v>
      </c>
      <c r="C98">
        <v>3.1</v>
      </c>
      <c r="D98" t="s">
        <v>32</v>
      </c>
      <c r="E98">
        <v>5.4</v>
      </c>
      <c r="F98">
        <v>1.9</v>
      </c>
      <c r="G98">
        <v>3.66</v>
      </c>
      <c r="H98">
        <v>0.4</v>
      </c>
      <c r="I98" t="s">
        <v>39</v>
      </c>
      <c r="J98">
        <v>7</v>
      </c>
      <c r="K98">
        <v>4</v>
      </c>
      <c r="L98">
        <v>2</v>
      </c>
    </row>
    <row r="99" spans="1:12" x14ac:dyDescent="0.3">
      <c r="A99">
        <v>13</v>
      </c>
      <c r="B99" t="s">
        <v>36</v>
      </c>
      <c r="C99">
        <v>3.5</v>
      </c>
      <c r="D99" t="s">
        <v>32</v>
      </c>
      <c r="E99">
        <v>5.2</v>
      </c>
      <c r="F99">
        <v>2.5</v>
      </c>
      <c r="G99">
        <v>2.57</v>
      </c>
      <c r="H99">
        <v>1.1000000000000001</v>
      </c>
      <c r="I99" t="s">
        <v>30</v>
      </c>
      <c r="J99">
        <v>1</v>
      </c>
      <c r="K99">
        <v>6</v>
      </c>
      <c r="L99">
        <v>3</v>
      </c>
    </row>
    <row r="100" spans="1:12" x14ac:dyDescent="0.3">
      <c r="A100">
        <v>18</v>
      </c>
      <c r="B100" t="s">
        <v>44</v>
      </c>
      <c r="C100">
        <v>7.4</v>
      </c>
      <c r="D100" t="s">
        <v>32</v>
      </c>
      <c r="E100">
        <v>6.4</v>
      </c>
      <c r="F100">
        <v>2.2000000000000002</v>
      </c>
      <c r="G100">
        <v>3.51</v>
      </c>
      <c r="H100">
        <v>1</v>
      </c>
      <c r="I100" t="s">
        <v>30</v>
      </c>
      <c r="J100">
        <v>4</v>
      </c>
      <c r="K100">
        <v>5</v>
      </c>
      <c r="L100">
        <v>4</v>
      </c>
    </row>
    <row r="101" spans="1:12" x14ac:dyDescent="0.3">
      <c r="A101">
        <v>16</v>
      </c>
      <c r="B101" t="s">
        <v>44</v>
      </c>
      <c r="C101">
        <v>8</v>
      </c>
      <c r="D101" t="s">
        <v>43</v>
      </c>
      <c r="E101">
        <v>5.5</v>
      </c>
      <c r="F101">
        <v>1.4</v>
      </c>
      <c r="G101">
        <v>2.95</v>
      </c>
      <c r="H101">
        <v>0.3</v>
      </c>
      <c r="I101" t="s">
        <v>42</v>
      </c>
      <c r="J101">
        <v>2</v>
      </c>
      <c r="K101">
        <v>5</v>
      </c>
      <c r="L101">
        <v>2</v>
      </c>
    </row>
    <row r="102" spans="1:12" x14ac:dyDescent="0.3">
      <c r="A102">
        <v>13</v>
      </c>
      <c r="B102" t="s">
        <v>44</v>
      </c>
      <c r="C102">
        <v>5.0999999999999996</v>
      </c>
      <c r="D102" t="s">
        <v>29</v>
      </c>
      <c r="E102">
        <v>4.0999999999999996</v>
      </c>
      <c r="F102">
        <v>1.6</v>
      </c>
      <c r="G102">
        <v>3.32</v>
      </c>
      <c r="H102">
        <v>0.8</v>
      </c>
      <c r="I102" t="s">
        <v>42</v>
      </c>
      <c r="J102">
        <v>1</v>
      </c>
      <c r="K102">
        <v>3</v>
      </c>
      <c r="L102">
        <v>8</v>
      </c>
    </row>
    <row r="103" spans="1:12" x14ac:dyDescent="0.3">
      <c r="A103">
        <v>18</v>
      </c>
      <c r="B103" t="s">
        <v>36</v>
      </c>
      <c r="C103">
        <v>2.4</v>
      </c>
      <c r="D103" t="s">
        <v>43</v>
      </c>
      <c r="E103">
        <v>6.3</v>
      </c>
      <c r="F103">
        <v>1.3</v>
      </c>
      <c r="G103">
        <v>3.05</v>
      </c>
      <c r="H103">
        <v>1.7</v>
      </c>
      <c r="I103" t="s">
        <v>39</v>
      </c>
      <c r="J103">
        <v>2</v>
      </c>
      <c r="K103">
        <v>9</v>
      </c>
      <c r="L103">
        <v>5</v>
      </c>
    </row>
    <row r="104" spans="1:12" x14ac:dyDescent="0.3">
      <c r="A104">
        <v>13</v>
      </c>
      <c r="B104" t="s">
        <v>44</v>
      </c>
      <c r="C104">
        <v>1.6</v>
      </c>
      <c r="D104" t="s">
        <v>43</v>
      </c>
      <c r="E104">
        <v>4.2</v>
      </c>
      <c r="F104">
        <v>1.5</v>
      </c>
      <c r="G104">
        <v>3.72</v>
      </c>
      <c r="H104">
        <v>1.7</v>
      </c>
      <c r="I104" t="s">
        <v>42</v>
      </c>
      <c r="J104">
        <v>10</v>
      </c>
      <c r="K104">
        <v>1</v>
      </c>
      <c r="L104">
        <v>10</v>
      </c>
    </row>
    <row r="105" spans="1:12" x14ac:dyDescent="0.3">
      <c r="A105">
        <v>18</v>
      </c>
      <c r="B105" t="s">
        <v>44</v>
      </c>
      <c r="C105">
        <v>5.8</v>
      </c>
      <c r="D105" t="s">
        <v>43</v>
      </c>
      <c r="E105">
        <v>6.7</v>
      </c>
      <c r="F105">
        <v>1.9</v>
      </c>
      <c r="G105">
        <v>3</v>
      </c>
      <c r="H105">
        <v>1.9</v>
      </c>
      <c r="I105" t="s">
        <v>39</v>
      </c>
      <c r="J105">
        <v>5</v>
      </c>
      <c r="K105">
        <v>8</v>
      </c>
      <c r="L105">
        <v>2</v>
      </c>
    </row>
    <row r="106" spans="1:12" x14ac:dyDescent="0.3">
      <c r="A106">
        <v>15</v>
      </c>
      <c r="B106" t="s">
        <v>44</v>
      </c>
      <c r="C106">
        <v>2.7</v>
      </c>
      <c r="D106" t="s">
        <v>32</v>
      </c>
      <c r="E106">
        <v>6.6</v>
      </c>
      <c r="F106">
        <v>1.9</v>
      </c>
      <c r="G106">
        <v>2.75</v>
      </c>
      <c r="H106">
        <v>1.9</v>
      </c>
      <c r="I106" t="s">
        <v>42</v>
      </c>
      <c r="J106">
        <v>3</v>
      </c>
      <c r="K106">
        <v>6</v>
      </c>
      <c r="L106">
        <v>6</v>
      </c>
    </row>
    <row r="107" spans="1:12" x14ac:dyDescent="0.3">
      <c r="A107">
        <v>13</v>
      </c>
      <c r="B107" t="s">
        <v>36</v>
      </c>
      <c r="C107">
        <v>4</v>
      </c>
      <c r="D107" t="s">
        <v>29</v>
      </c>
      <c r="E107">
        <v>4.5</v>
      </c>
      <c r="F107">
        <v>1</v>
      </c>
      <c r="G107">
        <v>3.65</v>
      </c>
      <c r="H107">
        <v>1.8</v>
      </c>
      <c r="I107" t="s">
        <v>39</v>
      </c>
      <c r="J107">
        <v>5</v>
      </c>
      <c r="K107">
        <v>6</v>
      </c>
      <c r="L107">
        <v>5</v>
      </c>
    </row>
    <row r="108" spans="1:12" x14ac:dyDescent="0.3">
      <c r="A108">
        <v>18</v>
      </c>
      <c r="B108" t="s">
        <v>44</v>
      </c>
      <c r="C108">
        <v>3.2</v>
      </c>
      <c r="D108" t="s">
        <v>29</v>
      </c>
      <c r="E108">
        <v>8.8000000000000007</v>
      </c>
      <c r="F108">
        <v>1.2</v>
      </c>
      <c r="G108">
        <v>3.71</v>
      </c>
      <c r="H108">
        <v>1.1000000000000001</v>
      </c>
      <c r="I108" t="s">
        <v>42</v>
      </c>
      <c r="J108">
        <v>7</v>
      </c>
      <c r="K108">
        <v>6</v>
      </c>
      <c r="L108">
        <v>10</v>
      </c>
    </row>
    <row r="109" spans="1:12" x14ac:dyDescent="0.3">
      <c r="A109">
        <v>13</v>
      </c>
      <c r="B109" t="s">
        <v>44</v>
      </c>
      <c r="C109">
        <v>1.6</v>
      </c>
      <c r="D109" t="s">
        <v>32</v>
      </c>
      <c r="E109">
        <v>4.3</v>
      </c>
      <c r="F109">
        <v>0.6</v>
      </c>
      <c r="G109">
        <v>3.91</v>
      </c>
      <c r="H109">
        <v>2</v>
      </c>
      <c r="I109" t="s">
        <v>42</v>
      </c>
      <c r="J109">
        <v>5</v>
      </c>
      <c r="K109">
        <v>10</v>
      </c>
      <c r="L109">
        <v>7</v>
      </c>
    </row>
    <row r="110" spans="1:12" x14ac:dyDescent="0.3">
      <c r="A110">
        <v>14</v>
      </c>
      <c r="B110" t="s">
        <v>44</v>
      </c>
      <c r="C110">
        <v>2.2999999999999998</v>
      </c>
      <c r="D110" t="s">
        <v>32</v>
      </c>
      <c r="E110">
        <v>8</v>
      </c>
      <c r="F110">
        <v>2.5</v>
      </c>
      <c r="G110">
        <v>3.08</v>
      </c>
      <c r="H110">
        <v>1.7</v>
      </c>
      <c r="I110" t="s">
        <v>42</v>
      </c>
      <c r="J110">
        <v>5</v>
      </c>
      <c r="K110">
        <v>6</v>
      </c>
      <c r="L110">
        <v>7</v>
      </c>
    </row>
    <row r="111" spans="1:12" x14ac:dyDescent="0.3">
      <c r="A111">
        <v>17</v>
      </c>
      <c r="B111" t="s">
        <v>44</v>
      </c>
      <c r="C111">
        <v>7.7</v>
      </c>
      <c r="D111" t="s">
        <v>32</v>
      </c>
      <c r="E111">
        <v>8.5</v>
      </c>
      <c r="F111">
        <v>1.2</v>
      </c>
      <c r="G111">
        <v>3.56</v>
      </c>
      <c r="H111">
        <v>0</v>
      </c>
      <c r="I111" t="s">
        <v>42</v>
      </c>
      <c r="J111">
        <v>7</v>
      </c>
      <c r="K111">
        <v>10</v>
      </c>
      <c r="L111">
        <v>7</v>
      </c>
    </row>
    <row r="112" spans="1:12" x14ac:dyDescent="0.3">
      <c r="A112">
        <v>16</v>
      </c>
      <c r="B112" t="s">
        <v>44</v>
      </c>
      <c r="C112">
        <v>4.8</v>
      </c>
      <c r="D112" t="s">
        <v>29</v>
      </c>
      <c r="E112">
        <v>7.1</v>
      </c>
      <c r="F112">
        <v>0.6</v>
      </c>
      <c r="G112">
        <v>3.36</v>
      </c>
      <c r="H112">
        <v>0.7</v>
      </c>
      <c r="I112" t="s">
        <v>30</v>
      </c>
      <c r="J112">
        <v>7</v>
      </c>
      <c r="K112">
        <v>6</v>
      </c>
      <c r="L112">
        <v>9</v>
      </c>
    </row>
    <row r="113" spans="1:12" x14ac:dyDescent="0.3">
      <c r="A113">
        <v>17</v>
      </c>
      <c r="B113" t="s">
        <v>36</v>
      </c>
      <c r="C113">
        <v>5.2</v>
      </c>
      <c r="D113" t="s">
        <v>29</v>
      </c>
      <c r="E113">
        <v>6</v>
      </c>
      <c r="F113">
        <v>0.6</v>
      </c>
      <c r="G113">
        <v>3.07</v>
      </c>
      <c r="H113">
        <v>0.6</v>
      </c>
      <c r="I113" t="s">
        <v>42</v>
      </c>
      <c r="J113">
        <v>6</v>
      </c>
      <c r="K113">
        <v>2</v>
      </c>
      <c r="L113">
        <v>9</v>
      </c>
    </row>
    <row r="114" spans="1:12" x14ac:dyDescent="0.3">
      <c r="A114">
        <v>13</v>
      </c>
      <c r="B114" t="s">
        <v>44</v>
      </c>
      <c r="C114">
        <v>5.7</v>
      </c>
      <c r="D114" t="s">
        <v>29</v>
      </c>
      <c r="E114">
        <v>6.6</v>
      </c>
      <c r="F114">
        <v>2.4</v>
      </c>
      <c r="G114">
        <v>3.99</v>
      </c>
      <c r="H114">
        <v>1.7</v>
      </c>
      <c r="I114" t="s">
        <v>30</v>
      </c>
      <c r="J114">
        <v>1</v>
      </c>
      <c r="K114">
        <v>3</v>
      </c>
      <c r="L114">
        <v>1</v>
      </c>
    </row>
    <row r="115" spans="1:12" x14ac:dyDescent="0.3">
      <c r="A115">
        <v>15</v>
      </c>
      <c r="B115" t="s">
        <v>44</v>
      </c>
      <c r="C115">
        <v>4.5999999999999996</v>
      </c>
      <c r="D115" t="s">
        <v>32</v>
      </c>
      <c r="E115">
        <v>5.2</v>
      </c>
      <c r="F115">
        <v>1.4</v>
      </c>
      <c r="G115">
        <v>2.98</v>
      </c>
      <c r="H115">
        <v>1.9</v>
      </c>
      <c r="I115" t="s">
        <v>39</v>
      </c>
      <c r="J115">
        <v>1</v>
      </c>
      <c r="K115">
        <v>4</v>
      </c>
      <c r="L115">
        <v>5</v>
      </c>
    </row>
    <row r="116" spans="1:12" x14ac:dyDescent="0.3">
      <c r="A116">
        <v>13</v>
      </c>
      <c r="B116" t="s">
        <v>44</v>
      </c>
      <c r="C116">
        <v>4.3</v>
      </c>
      <c r="D116" t="s">
        <v>32</v>
      </c>
      <c r="E116">
        <v>7.5</v>
      </c>
      <c r="F116">
        <v>2.7</v>
      </c>
      <c r="G116">
        <v>2.29</v>
      </c>
      <c r="H116">
        <v>0.8</v>
      </c>
      <c r="I116" t="s">
        <v>30</v>
      </c>
      <c r="J116">
        <v>1</v>
      </c>
      <c r="K116">
        <v>10</v>
      </c>
      <c r="L116">
        <v>1</v>
      </c>
    </row>
    <row r="117" spans="1:12" x14ac:dyDescent="0.3">
      <c r="A117">
        <v>17</v>
      </c>
      <c r="B117" t="s">
        <v>36</v>
      </c>
      <c r="C117">
        <v>4.0999999999999996</v>
      </c>
      <c r="D117" t="s">
        <v>43</v>
      </c>
      <c r="E117">
        <v>8.6</v>
      </c>
      <c r="F117">
        <v>3</v>
      </c>
      <c r="G117">
        <v>2.77</v>
      </c>
      <c r="H117">
        <v>0.1</v>
      </c>
      <c r="I117" t="s">
        <v>42</v>
      </c>
      <c r="J117">
        <v>3</v>
      </c>
      <c r="K117">
        <v>6</v>
      </c>
      <c r="L117">
        <v>1</v>
      </c>
    </row>
    <row r="118" spans="1:12" x14ac:dyDescent="0.3">
      <c r="A118">
        <v>15</v>
      </c>
      <c r="B118" t="s">
        <v>44</v>
      </c>
      <c r="C118">
        <v>6.5</v>
      </c>
      <c r="D118" t="s">
        <v>29</v>
      </c>
      <c r="E118">
        <v>8.1</v>
      </c>
      <c r="F118">
        <v>2</v>
      </c>
      <c r="G118">
        <v>3.89</v>
      </c>
      <c r="H118">
        <v>1.3</v>
      </c>
      <c r="I118" t="s">
        <v>30</v>
      </c>
      <c r="J118">
        <v>8</v>
      </c>
      <c r="K118">
        <v>2</v>
      </c>
      <c r="L118">
        <v>2</v>
      </c>
    </row>
    <row r="119" spans="1:12" x14ac:dyDescent="0.3">
      <c r="A119">
        <v>19</v>
      </c>
      <c r="B119" t="s">
        <v>36</v>
      </c>
      <c r="C119">
        <v>7.8</v>
      </c>
      <c r="D119" t="s">
        <v>29</v>
      </c>
      <c r="E119">
        <v>8.8000000000000007</v>
      </c>
      <c r="F119">
        <v>2.1</v>
      </c>
      <c r="G119">
        <v>3.75</v>
      </c>
      <c r="H119">
        <v>1.3</v>
      </c>
      <c r="I119" t="s">
        <v>30</v>
      </c>
      <c r="J119">
        <v>10</v>
      </c>
      <c r="K119">
        <v>9</v>
      </c>
      <c r="L119">
        <v>6</v>
      </c>
    </row>
    <row r="120" spans="1:12" x14ac:dyDescent="0.3">
      <c r="A120">
        <v>17</v>
      </c>
      <c r="B120" t="s">
        <v>44</v>
      </c>
      <c r="C120">
        <v>6.5</v>
      </c>
      <c r="D120" t="s">
        <v>43</v>
      </c>
      <c r="E120">
        <v>4.0999999999999996</v>
      </c>
      <c r="F120">
        <v>2.7</v>
      </c>
      <c r="G120">
        <v>3.66</v>
      </c>
      <c r="H120">
        <v>1.1000000000000001</v>
      </c>
      <c r="I120" t="s">
        <v>42</v>
      </c>
      <c r="J120">
        <v>6</v>
      </c>
      <c r="K120">
        <v>10</v>
      </c>
      <c r="L120">
        <v>10</v>
      </c>
    </row>
    <row r="121" spans="1:12" x14ac:dyDescent="0.3">
      <c r="A121">
        <v>17</v>
      </c>
      <c r="B121" t="s">
        <v>36</v>
      </c>
      <c r="C121">
        <v>3.2</v>
      </c>
      <c r="D121" t="s">
        <v>32</v>
      </c>
      <c r="E121">
        <v>4.2</v>
      </c>
      <c r="F121">
        <v>0.6</v>
      </c>
      <c r="G121">
        <v>2.21</v>
      </c>
      <c r="H121">
        <v>1.4</v>
      </c>
      <c r="I121" t="s">
        <v>42</v>
      </c>
      <c r="J121">
        <v>6</v>
      </c>
      <c r="K121">
        <v>6</v>
      </c>
      <c r="L121">
        <v>3</v>
      </c>
    </row>
    <row r="122" spans="1:12" x14ac:dyDescent="0.3">
      <c r="A122">
        <v>13</v>
      </c>
      <c r="B122" t="s">
        <v>44</v>
      </c>
      <c r="C122">
        <v>2.4</v>
      </c>
      <c r="D122" t="s">
        <v>32</v>
      </c>
      <c r="E122">
        <v>4.0999999999999996</v>
      </c>
      <c r="F122">
        <v>0.8</v>
      </c>
      <c r="G122">
        <v>2.79</v>
      </c>
      <c r="H122">
        <v>1.1000000000000001</v>
      </c>
      <c r="I122" t="s">
        <v>42</v>
      </c>
      <c r="J122">
        <v>8</v>
      </c>
      <c r="K122">
        <v>6</v>
      </c>
      <c r="L122">
        <v>3</v>
      </c>
    </row>
    <row r="123" spans="1:12" x14ac:dyDescent="0.3">
      <c r="A123">
        <v>15</v>
      </c>
      <c r="B123" t="s">
        <v>36</v>
      </c>
      <c r="C123">
        <v>4</v>
      </c>
      <c r="D123" t="s">
        <v>43</v>
      </c>
      <c r="E123">
        <v>8.1</v>
      </c>
      <c r="F123">
        <v>2.1</v>
      </c>
      <c r="G123">
        <v>2.0099999999999998</v>
      </c>
      <c r="H123">
        <v>0.4</v>
      </c>
      <c r="I123" t="s">
        <v>42</v>
      </c>
      <c r="J123">
        <v>4</v>
      </c>
      <c r="K123">
        <v>8</v>
      </c>
      <c r="L123">
        <v>8</v>
      </c>
    </row>
    <row r="124" spans="1:12" x14ac:dyDescent="0.3">
      <c r="A124">
        <v>17</v>
      </c>
      <c r="B124" t="s">
        <v>36</v>
      </c>
      <c r="C124">
        <v>6</v>
      </c>
      <c r="D124" t="s">
        <v>29</v>
      </c>
      <c r="E124">
        <v>8.8000000000000007</v>
      </c>
      <c r="F124">
        <v>1.3</v>
      </c>
      <c r="G124">
        <v>4</v>
      </c>
      <c r="H124">
        <v>0.9</v>
      </c>
      <c r="I124" t="s">
        <v>42</v>
      </c>
      <c r="J124">
        <v>8</v>
      </c>
      <c r="K124">
        <v>10</v>
      </c>
      <c r="L124">
        <v>7</v>
      </c>
    </row>
    <row r="125" spans="1:12" x14ac:dyDescent="0.3">
      <c r="A125">
        <v>18</v>
      </c>
      <c r="B125" t="s">
        <v>44</v>
      </c>
      <c r="C125">
        <v>1.2</v>
      </c>
      <c r="D125" t="s">
        <v>32</v>
      </c>
      <c r="E125">
        <v>8</v>
      </c>
      <c r="F125">
        <v>1.7</v>
      </c>
      <c r="G125">
        <v>3.12</v>
      </c>
      <c r="H125">
        <v>0.1</v>
      </c>
      <c r="I125" t="s">
        <v>39</v>
      </c>
      <c r="J125">
        <v>6</v>
      </c>
      <c r="K125">
        <v>4</v>
      </c>
      <c r="L125">
        <v>2</v>
      </c>
    </row>
    <row r="126" spans="1:12" x14ac:dyDescent="0.3">
      <c r="A126">
        <v>16</v>
      </c>
      <c r="B126" t="s">
        <v>44</v>
      </c>
      <c r="C126">
        <v>5.7</v>
      </c>
      <c r="D126" t="s">
        <v>29</v>
      </c>
      <c r="E126">
        <v>5.8</v>
      </c>
      <c r="F126">
        <v>2.8</v>
      </c>
      <c r="G126">
        <v>2.17</v>
      </c>
      <c r="H126">
        <v>0.5</v>
      </c>
      <c r="I126" t="s">
        <v>42</v>
      </c>
      <c r="J126">
        <v>3</v>
      </c>
      <c r="K126">
        <v>9</v>
      </c>
      <c r="L126">
        <v>2</v>
      </c>
    </row>
    <row r="127" spans="1:12" x14ac:dyDescent="0.3">
      <c r="A127">
        <v>19</v>
      </c>
      <c r="B127" t="s">
        <v>44</v>
      </c>
      <c r="C127">
        <v>6.5</v>
      </c>
      <c r="D127" t="s">
        <v>29</v>
      </c>
      <c r="E127">
        <v>8.1</v>
      </c>
      <c r="F127">
        <v>2.2999999999999998</v>
      </c>
      <c r="G127">
        <v>2.21</v>
      </c>
      <c r="H127">
        <v>0.4</v>
      </c>
      <c r="I127" t="s">
        <v>30</v>
      </c>
      <c r="J127">
        <v>8</v>
      </c>
      <c r="K127">
        <v>8</v>
      </c>
      <c r="L127">
        <v>6</v>
      </c>
    </row>
    <row r="128" spans="1:12" x14ac:dyDescent="0.3">
      <c r="A128">
        <v>16</v>
      </c>
      <c r="B128" t="s">
        <v>44</v>
      </c>
      <c r="C128">
        <v>6.6</v>
      </c>
      <c r="D128" t="s">
        <v>43</v>
      </c>
      <c r="E128">
        <v>5.6</v>
      </c>
      <c r="F128">
        <v>0.8</v>
      </c>
      <c r="G128">
        <v>3.48</v>
      </c>
      <c r="H128">
        <v>1.7</v>
      </c>
      <c r="I128" t="s">
        <v>42</v>
      </c>
      <c r="J128">
        <v>4</v>
      </c>
      <c r="K128">
        <v>3</v>
      </c>
      <c r="L128">
        <v>4</v>
      </c>
    </row>
    <row r="129" spans="1:12" x14ac:dyDescent="0.3">
      <c r="A129">
        <v>13</v>
      </c>
      <c r="B129" t="s">
        <v>44</v>
      </c>
      <c r="C129">
        <v>6</v>
      </c>
      <c r="D129" t="s">
        <v>32</v>
      </c>
      <c r="E129">
        <v>7.2</v>
      </c>
      <c r="F129">
        <v>1.5</v>
      </c>
      <c r="G129">
        <v>2.36</v>
      </c>
      <c r="H129">
        <v>0.2</v>
      </c>
      <c r="I129" t="s">
        <v>39</v>
      </c>
      <c r="J129">
        <v>1</v>
      </c>
      <c r="K129">
        <v>3</v>
      </c>
      <c r="L129">
        <v>4</v>
      </c>
    </row>
    <row r="130" spans="1:12" x14ac:dyDescent="0.3">
      <c r="A130">
        <v>18</v>
      </c>
      <c r="B130" t="s">
        <v>36</v>
      </c>
      <c r="C130">
        <v>1.1000000000000001</v>
      </c>
      <c r="D130" t="s">
        <v>29</v>
      </c>
      <c r="E130">
        <v>8</v>
      </c>
      <c r="F130">
        <v>2.7</v>
      </c>
      <c r="G130">
        <v>2.04</v>
      </c>
      <c r="H130">
        <v>0.1</v>
      </c>
      <c r="I130" t="s">
        <v>39</v>
      </c>
      <c r="J130">
        <v>7</v>
      </c>
      <c r="K130">
        <v>10</v>
      </c>
      <c r="L130">
        <v>2</v>
      </c>
    </row>
    <row r="131" spans="1:12" x14ac:dyDescent="0.3">
      <c r="A131">
        <v>13</v>
      </c>
      <c r="B131" t="s">
        <v>36</v>
      </c>
      <c r="C131">
        <v>3.8</v>
      </c>
      <c r="D131" t="s">
        <v>43</v>
      </c>
      <c r="E131">
        <v>7.9</v>
      </c>
      <c r="F131">
        <v>1.3</v>
      </c>
      <c r="G131">
        <v>3.97</v>
      </c>
      <c r="H131">
        <v>0.2</v>
      </c>
      <c r="I131" t="s">
        <v>42</v>
      </c>
      <c r="J131">
        <v>7</v>
      </c>
      <c r="K131">
        <v>10</v>
      </c>
      <c r="L131">
        <v>9</v>
      </c>
    </row>
    <row r="132" spans="1:12" x14ac:dyDescent="0.3">
      <c r="A132">
        <v>13</v>
      </c>
      <c r="B132" t="s">
        <v>36</v>
      </c>
      <c r="C132">
        <v>4.7</v>
      </c>
      <c r="D132" t="s">
        <v>29</v>
      </c>
      <c r="E132">
        <v>6.8</v>
      </c>
      <c r="F132">
        <v>1.7</v>
      </c>
      <c r="G132">
        <v>3.27</v>
      </c>
      <c r="H132">
        <v>1.4</v>
      </c>
      <c r="I132" t="s">
        <v>39</v>
      </c>
      <c r="J132">
        <v>4</v>
      </c>
      <c r="K132">
        <v>2</v>
      </c>
      <c r="L132">
        <v>4</v>
      </c>
    </row>
    <row r="133" spans="1:12" x14ac:dyDescent="0.3">
      <c r="A133">
        <v>15</v>
      </c>
      <c r="B133" t="s">
        <v>44</v>
      </c>
      <c r="C133">
        <v>7.4</v>
      </c>
      <c r="D133" t="s">
        <v>32</v>
      </c>
      <c r="E133">
        <v>6.3</v>
      </c>
      <c r="F133">
        <v>1.3</v>
      </c>
      <c r="G133">
        <v>3.47</v>
      </c>
      <c r="H133">
        <v>1.2</v>
      </c>
      <c r="I133" t="s">
        <v>42</v>
      </c>
      <c r="J133">
        <v>1</v>
      </c>
      <c r="K133">
        <v>3</v>
      </c>
      <c r="L133">
        <v>9</v>
      </c>
    </row>
    <row r="134" spans="1:12" x14ac:dyDescent="0.3">
      <c r="A134">
        <v>17</v>
      </c>
      <c r="B134" t="s">
        <v>44</v>
      </c>
      <c r="C134">
        <v>3.9</v>
      </c>
      <c r="D134" t="s">
        <v>43</v>
      </c>
      <c r="E134">
        <v>7.1</v>
      </c>
      <c r="F134">
        <v>2.4</v>
      </c>
      <c r="G134">
        <v>3.82</v>
      </c>
      <c r="H134">
        <v>0.8</v>
      </c>
      <c r="I134" t="s">
        <v>30</v>
      </c>
      <c r="J134">
        <v>3</v>
      </c>
      <c r="K134">
        <v>6</v>
      </c>
      <c r="L134">
        <v>10</v>
      </c>
    </row>
    <row r="135" spans="1:12" x14ac:dyDescent="0.3">
      <c r="A135">
        <v>18</v>
      </c>
      <c r="B135" t="s">
        <v>44</v>
      </c>
      <c r="C135">
        <v>3.1</v>
      </c>
      <c r="D135" t="s">
        <v>43</v>
      </c>
      <c r="E135">
        <v>5.7</v>
      </c>
      <c r="F135">
        <v>2.9</v>
      </c>
      <c r="G135">
        <v>3.1</v>
      </c>
      <c r="H135">
        <v>0.6</v>
      </c>
      <c r="I135" t="s">
        <v>42</v>
      </c>
      <c r="J135">
        <v>9</v>
      </c>
      <c r="K135">
        <v>4</v>
      </c>
      <c r="L135">
        <v>2</v>
      </c>
    </row>
    <row r="136" spans="1:12" x14ac:dyDescent="0.3">
      <c r="A136">
        <v>16</v>
      </c>
      <c r="B136" t="s">
        <v>36</v>
      </c>
      <c r="C136">
        <v>2.6</v>
      </c>
      <c r="D136" t="s">
        <v>32</v>
      </c>
      <c r="E136">
        <v>8.8000000000000007</v>
      </c>
      <c r="F136">
        <v>1.7</v>
      </c>
      <c r="G136">
        <v>2.39</v>
      </c>
      <c r="H136">
        <v>1</v>
      </c>
      <c r="I136" t="s">
        <v>42</v>
      </c>
      <c r="J136">
        <v>5</v>
      </c>
      <c r="K136">
        <v>2</v>
      </c>
      <c r="L136">
        <v>6</v>
      </c>
    </row>
    <row r="137" spans="1:12" x14ac:dyDescent="0.3">
      <c r="A137">
        <v>13</v>
      </c>
      <c r="B137" t="s">
        <v>44</v>
      </c>
      <c r="C137">
        <v>5</v>
      </c>
      <c r="D137" t="s">
        <v>32</v>
      </c>
      <c r="E137">
        <v>6.9</v>
      </c>
      <c r="F137">
        <v>0.6</v>
      </c>
      <c r="G137">
        <v>3.03</v>
      </c>
      <c r="H137">
        <v>0.8</v>
      </c>
      <c r="I137" t="s">
        <v>39</v>
      </c>
      <c r="J137">
        <v>9</v>
      </c>
      <c r="K137">
        <v>3</v>
      </c>
      <c r="L137">
        <v>8</v>
      </c>
    </row>
    <row r="138" spans="1:12" x14ac:dyDescent="0.3">
      <c r="A138">
        <v>18</v>
      </c>
      <c r="B138" t="s">
        <v>44</v>
      </c>
      <c r="C138">
        <v>4.5</v>
      </c>
      <c r="D138" t="s">
        <v>43</v>
      </c>
      <c r="E138">
        <v>8.1</v>
      </c>
      <c r="F138">
        <v>1.6</v>
      </c>
      <c r="G138">
        <v>3.72</v>
      </c>
      <c r="H138">
        <v>1.2</v>
      </c>
      <c r="I138" t="s">
        <v>39</v>
      </c>
      <c r="J138">
        <v>1</v>
      </c>
      <c r="K138">
        <v>2</v>
      </c>
      <c r="L138">
        <v>1</v>
      </c>
    </row>
    <row r="139" spans="1:12" x14ac:dyDescent="0.3">
      <c r="A139">
        <v>17</v>
      </c>
      <c r="B139" t="s">
        <v>44</v>
      </c>
      <c r="C139">
        <v>2.1</v>
      </c>
      <c r="D139" t="s">
        <v>32</v>
      </c>
      <c r="E139">
        <v>4.7</v>
      </c>
      <c r="F139">
        <v>2</v>
      </c>
      <c r="G139">
        <v>2.99</v>
      </c>
      <c r="H139">
        <v>1.9</v>
      </c>
      <c r="I139" t="s">
        <v>39</v>
      </c>
      <c r="J139">
        <v>5</v>
      </c>
      <c r="K139">
        <v>1</v>
      </c>
      <c r="L139">
        <v>8</v>
      </c>
    </row>
    <row r="140" spans="1:12" x14ac:dyDescent="0.3">
      <c r="A140">
        <v>14</v>
      </c>
      <c r="B140" t="s">
        <v>36</v>
      </c>
      <c r="C140">
        <v>6.4</v>
      </c>
      <c r="D140" t="s">
        <v>43</v>
      </c>
      <c r="E140">
        <v>6</v>
      </c>
      <c r="F140">
        <v>1.1000000000000001</v>
      </c>
      <c r="G140">
        <v>3.81</v>
      </c>
      <c r="H140">
        <v>0.9</v>
      </c>
      <c r="I140" t="s">
        <v>42</v>
      </c>
      <c r="J140">
        <v>8</v>
      </c>
      <c r="K140">
        <v>2</v>
      </c>
      <c r="L140">
        <v>3</v>
      </c>
    </row>
    <row r="141" spans="1:12" x14ac:dyDescent="0.3">
      <c r="A141">
        <v>15</v>
      </c>
      <c r="B141" t="s">
        <v>36</v>
      </c>
      <c r="C141">
        <v>2.2999999999999998</v>
      </c>
      <c r="D141" t="s">
        <v>32</v>
      </c>
      <c r="E141">
        <v>6.5</v>
      </c>
      <c r="F141">
        <v>2.6</v>
      </c>
      <c r="G141">
        <v>3.18</v>
      </c>
      <c r="H141">
        <v>0.1</v>
      </c>
      <c r="I141" t="s">
        <v>39</v>
      </c>
      <c r="J141">
        <v>1</v>
      </c>
      <c r="K141">
        <v>8</v>
      </c>
      <c r="L141">
        <v>4</v>
      </c>
    </row>
    <row r="142" spans="1:12" x14ac:dyDescent="0.3">
      <c r="A142">
        <v>13</v>
      </c>
      <c r="B142" t="s">
        <v>36</v>
      </c>
      <c r="C142">
        <v>4.4000000000000004</v>
      </c>
      <c r="D142" t="s">
        <v>32</v>
      </c>
      <c r="E142">
        <v>8.8000000000000007</v>
      </c>
      <c r="F142">
        <v>1.3</v>
      </c>
      <c r="G142">
        <v>2.69</v>
      </c>
      <c r="H142">
        <v>0.4</v>
      </c>
      <c r="I142" t="s">
        <v>39</v>
      </c>
      <c r="J142">
        <v>3</v>
      </c>
      <c r="K142">
        <v>1</v>
      </c>
      <c r="L142">
        <v>7</v>
      </c>
    </row>
    <row r="143" spans="1:12" x14ac:dyDescent="0.3">
      <c r="A143">
        <v>19</v>
      </c>
      <c r="B143" t="s">
        <v>44</v>
      </c>
      <c r="C143">
        <v>2.2999999999999998</v>
      </c>
      <c r="D143" t="s">
        <v>43</v>
      </c>
      <c r="E143">
        <v>6.9</v>
      </c>
      <c r="F143">
        <v>2.2999999999999998</v>
      </c>
      <c r="G143">
        <v>2.17</v>
      </c>
      <c r="H143">
        <v>1.6</v>
      </c>
      <c r="I143" t="s">
        <v>42</v>
      </c>
      <c r="J143">
        <v>3</v>
      </c>
      <c r="K143">
        <v>6</v>
      </c>
      <c r="L143">
        <v>10</v>
      </c>
    </row>
    <row r="144" spans="1:12" x14ac:dyDescent="0.3">
      <c r="A144">
        <v>13</v>
      </c>
      <c r="B144" t="s">
        <v>44</v>
      </c>
      <c r="C144">
        <v>4.3</v>
      </c>
      <c r="D144" t="s">
        <v>43</v>
      </c>
      <c r="E144">
        <v>4.4000000000000004</v>
      </c>
      <c r="F144">
        <v>0.7</v>
      </c>
      <c r="G144">
        <v>3.19</v>
      </c>
      <c r="H144">
        <v>0.3</v>
      </c>
      <c r="I144" t="s">
        <v>39</v>
      </c>
      <c r="J144">
        <v>6</v>
      </c>
      <c r="K144">
        <v>2</v>
      </c>
      <c r="L144">
        <v>6</v>
      </c>
    </row>
    <row r="145" spans="1:12" x14ac:dyDescent="0.3">
      <c r="A145">
        <v>18</v>
      </c>
      <c r="B145" t="s">
        <v>36</v>
      </c>
      <c r="C145">
        <v>3.9</v>
      </c>
      <c r="D145" t="s">
        <v>32</v>
      </c>
      <c r="E145">
        <v>5.2</v>
      </c>
      <c r="F145">
        <v>1.8</v>
      </c>
      <c r="G145">
        <v>2.41</v>
      </c>
      <c r="H145">
        <v>0.6</v>
      </c>
      <c r="I145" t="s">
        <v>30</v>
      </c>
      <c r="J145">
        <v>9</v>
      </c>
      <c r="K145">
        <v>5</v>
      </c>
      <c r="L145">
        <v>5</v>
      </c>
    </row>
    <row r="146" spans="1:12" x14ac:dyDescent="0.3">
      <c r="A146">
        <v>18</v>
      </c>
      <c r="B146" t="s">
        <v>44</v>
      </c>
      <c r="C146">
        <v>2.9</v>
      </c>
      <c r="D146" t="s">
        <v>32</v>
      </c>
      <c r="E146">
        <v>7.5</v>
      </c>
      <c r="F146">
        <v>0.9</v>
      </c>
      <c r="G146">
        <v>2.62</v>
      </c>
      <c r="H146">
        <v>2</v>
      </c>
      <c r="I146" t="s">
        <v>30</v>
      </c>
      <c r="J146">
        <v>3</v>
      </c>
      <c r="K146">
        <v>1</v>
      </c>
      <c r="L146">
        <v>9</v>
      </c>
    </row>
    <row r="147" spans="1:12" x14ac:dyDescent="0.3">
      <c r="A147">
        <v>14</v>
      </c>
      <c r="B147" t="s">
        <v>44</v>
      </c>
      <c r="C147">
        <v>2.1</v>
      </c>
      <c r="D147" t="s">
        <v>43</v>
      </c>
      <c r="E147">
        <v>8.5</v>
      </c>
      <c r="F147">
        <v>1.1000000000000001</v>
      </c>
      <c r="G147">
        <v>3.03</v>
      </c>
      <c r="H147">
        <v>1.6</v>
      </c>
      <c r="I147" t="s">
        <v>42</v>
      </c>
      <c r="J147">
        <v>5</v>
      </c>
      <c r="K147">
        <v>6</v>
      </c>
      <c r="L147">
        <v>7</v>
      </c>
    </row>
    <row r="148" spans="1:12" x14ac:dyDescent="0.3">
      <c r="A148">
        <v>14</v>
      </c>
      <c r="B148" t="s">
        <v>44</v>
      </c>
      <c r="C148">
        <v>2.1</v>
      </c>
      <c r="D148" t="s">
        <v>32</v>
      </c>
      <c r="E148">
        <v>5</v>
      </c>
      <c r="F148">
        <v>1.4</v>
      </c>
      <c r="G148">
        <v>2.96</v>
      </c>
      <c r="H148">
        <v>1.1000000000000001</v>
      </c>
      <c r="I148" t="s">
        <v>39</v>
      </c>
      <c r="J148">
        <v>7</v>
      </c>
      <c r="K148">
        <v>1</v>
      </c>
      <c r="L148">
        <v>9</v>
      </c>
    </row>
    <row r="149" spans="1:12" x14ac:dyDescent="0.3">
      <c r="A149">
        <v>16</v>
      </c>
      <c r="B149" t="s">
        <v>44</v>
      </c>
      <c r="C149">
        <v>3.8</v>
      </c>
      <c r="D149" t="s">
        <v>32</v>
      </c>
      <c r="E149">
        <v>5.7</v>
      </c>
      <c r="F149">
        <v>1.3</v>
      </c>
      <c r="G149">
        <v>3.84</v>
      </c>
      <c r="H149">
        <v>1.6</v>
      </c>
      <c r="I149" t="s">
        <v>42</v>
      </c>
      <c r="J149">
        <v>3</v>
      </c>
      <c r="K149">
        <v>4</v>
      </c>
      <c r="L149">
        <v>10</v>
      </c>
    </row>
    <row r="150" spans="1:12" x14ac:dyDescent="0.3">
      <c r="A150">
        <v>15</v>
      </c>
      <c r="B150" t="s">
        <v>36</v>
      </c>
      <c r="C150">
        <v>1.1000000000000001</v>
      </c>
      <c r="D150" t="s">
        <v>32</v>
      </c>
      <c r="E150">
        <v>8.1999999999999993</v>
      </c>
      <c r="F150">
        <v>0.7</v>
      </c>
      <c r="G150">
        <v>2.94</v>
      </c>
      <c r="H150">
        <v>0.7</v>
      </c>
      <c r="I150" t="s">
        <v>30</v>
      </c>
      <c r="J150">
        <v>10</v>
      </c>
      <c r="K150">
        <v>7</v>
      </c>
      <c r="L150">
        <v>9</v>
      </c>
    </row>
    <row r="151" spans="1:12" x14ac:dyDescent="0.3">
      <c r="A151">
        <v>14</v>
      </c>
      <c r="B151" t="s">
        <v>44</v>
      </c>
      <c r="C151">
        <v>2.5</v>
      </c>
      <c r="D151" t="s">
        <v>29</v>
      </c>
      <c r="E151">
        <v>5.3</v>
      </c>
      <c r="F151">
        <v>2.4</v>
      </c>
      <c r="G151">
        <v>3.87</v>
      </c>
      <c r="H151">
        <v>1.3</v>
      </c>
      <c r="I151" t="s">
        <v>30</v>
      </c>
      <c r="J151">
        <v>10</v>
      </c>
      <c r="K151">
        <v>9</v>
      </c>
      <c r="L151">
        <v>6</v>
      </c>
    </row>
    <row r="152" spans="1:12" x14ac:dyDescent="0.3">
      <c r="A152">
        <v>19</v>
      </c>
      <c r="B152" t="s">
        <v>36</v>
      </c>
      <c r="C152">
        <v>4.0999999999999996</v>
      </c>
      <c r="D152" t="s">
        <v>43</v>
      </c>
      <c r="E152">
        <v>6.4</v>
      </c>
      <c r="F152">
        <v>0.9</v>
      </c>
      <c r="G152">
        <v>2.4700000000000002</v>
      </c>
      <c r="H152">
        <v>1.2</v>
      </c>
      <c r="I152" t="s">
        <v>30</v>
      </c>
      <c r="J152">
        <v>7</v>
      </c>
      <c r="K152">
        <v>3</v>
      </c>
      <c r="L152">
        <v>4</v>
      </c>
    </row>
    <row r="153" spans="1:12" x14ac:dyDescent="0.3">
      <c r="A153">
        <v>16</v>
      </c>
      <c r="B153" t="s">
        <v>44</v>
      </c>
      <c r="C153">
        <v>3</v>
      </c>
      <c r="D153" t="s">
        <v>43</v>
      </c>
      <c r="E153">
        <v>8.6</v>
      </c>
      <c r="F153">
        <v>1.5</v>
      </c>
      <c r="G153">
        <v>2.84</v>
      </c>
      <c r="H153">
        <v>0.3</v>
      </c>
      <c r="I153" t="s">
        <v>30</v>
      </c>
      <c r="J153">
        <v>6</v>
      </c>
      <c r="K153">
        <v>4</v>
      </c>
      <c r="L153">
        <v>3</v>
      </c>
    </row>
    <row r="154" spans="1:12" x14ac:dyDescent="0.3">
      <c r="A154">
        <v>13</v>
      </c>
      <c r="B154" t="s">
        <v>36</v>
      </c>
      <c r="C154">
        <v>3.9</v>
      </c>
      <c r="D154" t="s">
        <v>43</v>
      </c>
      <c r="E154">
        <v>5</v>
      </c>
      <c r="F154">
        <v>0.7</v>
      </c>
      <c r="G154">
        <v>2.98</v>
      </c>
      <c r="H154">
        <v>0.3</v>
      </c>
      <c r="I154" t="s">
        <v>42</v>
      </c>
      <c r="J154">
        <v>10</v>
      </c>
      <c r="K154">
        <v>8</v>
      </c>
      <c r="L154">
        <v>3</v>
      </c>
    </row>
    <row r="155" spans="1:12" x14ac:dyDescent="0.3">
      <c r="A155">
        <v>13</v>
      </c>
      <c r="B155" t="s">
        <v>44</v>
      </c>
      <c r="C155">
        <v>7</v>
      </c>
      <c r="D155" t="s">
        <v>32</v>
      </c>
      <c r="E155">
        <v>8.9</v>
      </c>
      <c r="F155">
        <v>0.6</v>
      </c>
      <c r="G155">
        <v>2.7</v>
      </c>
      <c r="H155">
        <v>1.8</v>
      </c>
      <c r="I155" t="s">
        <v>42</v>
      </c>
      <c r="J155">
        <v>5</v>
      </c>
      <c r="K155">
        <v>4</v>
      </c>
      <c r="L155">
        <v>1</v>
      </c>
    </row>
    <row r="156" spans="1:12" x14ac:dyDescent="0.3">
      <c r="A156">
        <v>16</v>
      </c>
      <c r="B156" t="s">
        <v>44</v>
      </c>
      <c r="C156">
        <v>3.6</v>
      </c>
      <c r="D156" t="s">
        <v>29</v>
      </c>
      <c r="E156">
        <v>8.9</v>
      </c>
      <c r="F156">
        <v>1.9</v>
      </c>
      <c r="G156">
        <v>2.11</v>
      </c>
      <c r="H156">
        <v>1.7</v>
      </c>
      <c r="I156" t="s">
        <v>39</v>
      </c>
      <c r="J156">
        <v>9</v>
      </c>
      <c r="K156">
        <v>5</v>
      </c>
      <c r="L156">
        <v>2</v>
      </c>
    </row>
    <row r="157" spans="1:12" x14ac:dyDescent="0.3">
      <c r="A157">
        <v>15</v>
      </c>
      <c r="B157" t="s">
        <v>44</v>
      </c>
      <c r="C157">
        <v>7.6</v>
      </c>
      <c r="D157" t="s">
        <v>43</v>
      </c>
      <c r="E157">
        <v>7.6</v>
      </c>
      <c r="F157">
        <v>2.7</v>
      </c>
      <c r="G157">
        <v>2.36</v>
      </c>
      <c r="H157">
        <v>1.2</v>
      </c>
      <c r="I157" t="s">
        <v>42</v>
      </c>
      <c r="J157">
        <v>5</v>
      </c>
      <c r="K157">
        <v>10</v>
      </c>
      <c r="L157">
        <v>3</v>
      </c>
    </row>
    <row r="158" spans="1:12" x14ac:dyDescent="0.3">
      <c r="A158">
        <v>19</v>
      </c>
      <c r="B158" t="s">
        <v>44</v>
      </c>
      <c r="C158">
        <v>1.3</v>
      </c>
      <c r="D158" t="s">
        <v>43</v>
      </c>
      <c r="E158">
        <v>4.5</v>
      </c>
      <c r="F158">
        <v>0.7</v>
      </c>
      <c r="G158">
        <v>2.5099999999999998</v>
      </c>
      <c r="H158">
        <v>0.8</v>
      </c>
      <c r="I158" t="s">
        <v>39</v>
      </c>
      <c r="J158">
        <v>10</v>
      </c>
      <c r="K158">
        <v>9</v>
      </c>
      <c r="L158">
        <v>7</v>
      </c>
    </row>
    <row r="159" spans="1:12" x14ac:dyDescent="0.3">
      <c r="A159">
        <v>17</v>
      </c>
      <c r="B159" t="s">
        <v>36</v>
      </c>
      <c r="C159">
        <v>2.1</v>
      </c>
      <c r="D159" t="s">
        <v>29</v>
      </c>
      <c r="E159">
        <v>7.8</v>
      </c>
      <c r="F159">
        <v>2.1</v>
      </c>
      <c r="G159">
        <v>3.29</v>
      </c>
      <c r="H159">
        <v>1.5</v>
      </c>
      <c r="I159" t="s">
        <v>39</v>
      </c>
      <c r="J159">
        <v>8</v>
      </c>
      <c r="K159">
        <v>1</v>
      </c>
      <c r="L159">
        <v>7</v>
      </c>
    </row>
    <row r="160" spans="1:12" x14ac:dyDescent="0.3">
      <c r="A160">
        <v>15</v>
      </c>
      <c r="B160" t="s">
        <v>36</v>
      </c>
      <c r="C160">
        <v>2.7</v>
      </c>
      <c r="D160" t="s">
        <v>29</v>
      </c>
      <c r="E160">
        <v>8.8000000000000007</v>
      </c>
      <c r="F160">
        <v>1.9</v>
      </c>
      <c r="G160">
        <v>2.14</v>
      </c>
      <c r="H160">
        <v>0.4</v>
      </c>
      <c r="I160" t="s">
        <v>30</v>
      </c>
      <c r="J160">
        <v>8</v>
      </c>
      <c r="K160">
        <v>10</v>
      </c>
      <c r="L160">
        <v>3</v>
      </c>
    </row>
    <row r="161" spans="1:12" x14ac:dyDescent="0.3">
      <c r="A161">
        <v>13</v>
      </c>
      <c r="B161" t="s">
        <v>44</v>
      </c>
      <c r="C161">
        <v>7.5</v>
      </c>
      <c r="D161" t="s">
        <v>29</v>
      </c>
      <c r="E161">
        <v>8</v>
      </c>
      <c r="F161">
        <v>2</v>
      </c>
      <c r="G161">
        <v>3.25</v>
      </c>
      <c r="H161">
        <v>0.7</v>
      </c>
      <c r="I161" t="s">
        <v>42</v>
      </c>
      <c r="J161">
        <v>9</v>
      </c>
      <c r="K161">
        <v>10</v>
      </c>
      <c r="L161">
        <v>2</v>
      </c>
    </row>
    <row r="162" spans="1:12" x14ac:dyDescent="0.3">
      <c r="A162">
        <v>16</v>
      </c>
      <c r="B162" t="s">
        <v>36</v>
      </c>
      <c r="C162">
        <v>6.1</v>
      </c>
      <c r="D162" t="s">
        <v>29</v>
      </c>
      <c r="E162">
        <v>8.8000000000000007</v>
      </c>
      <c r="F162">
        <v>1.7</v>
      </c>
      <c r="G162">
        <v>3.55</v>
      </c>
      <c r="H162">
        <v>1.3</v>
      </c>
      <c r="I162" t="s">
        <v>42</v>
      </c>
      <c r="J162">
        <v>6</v>
      </c>
      <c r="K162">
        <v>10</v>
      </c>
      <c r="L162">
        <v>9</v>
      </c>
    </row>
    <row r="163" spans="1:12" x14ac:dyDescent="0.3">
      <c r="A163">
        <v>19</v>
      </c>
      <c r="B163" t="s">
        <v>44</v>
      </c>
      <c r="C163">
        <v>2.4</v>
      </c>
      <c r="D163" t="s">
        <v>29</v>
      </c>
      <c r="E163">
        <v>7.4</v>
      </c>
      <c r="F163">
        <v>1.2</v>
      </c>
      <c r="G163">
        <v>2.5</v>
      </c>
      <c r="H163">
        <v>1.8</v>
      </c>
      <c r="I163" t="s">
        <v>30</v>
      </c>
      <c r="J163">
        <v>2</v>
      </c>
      <c r="K163">
        <v>5</v>
      </c>
      <c r="L163">
        <v>2</v>
      </c>
    </row>
    <row r="164" spans="1:12" x14ac:dyDescent="0.3">
      <c r="A164">
        <v>19</v>
      </c>
      <c r="B164" t="s">
        <v>44</v>
      </c>
      <c r="C164">
        <v>2</v>
      </c>
      <c r="D164" t="s">
        <v>32</v>
      </c>
      <c r="E164">
        <v>5.3</v>
      </c>
      <c r="F164">
        <v>1.7</v>
      </c>
      <c r="G164">
        <v>2.91</v>
      </c>
      <c r="H164">
        <v>0.8</v>
      </c>
      <c r="I164" t="s">
        <v>39</v>
      </c>
      <c r="J164">
        <v>9</v>
      </c>
      <c r="K164">
        <v>5</v>
      </c>
      <c r="L164">
        <v>9</v>
      </c>
    </row>
    <row r="165" spans="1:12" x14ac:dyDescent="0.3">
      <c r="A165">
        <v>15</v>
      </c>
      <c r="B165" t="s">
        <v>36</v>
      </c>
      <c r="C165">
        <v>7.8</v>
      </c>
      <c r="D165" t="s">
        <v>32</v>
      </c>
      <c r="E165">
        <v>5.3</v>
      </c>
      <c r="F165">
        <v>0.5</v>
      </c>
      <c r="G165">
        <v>2.3199999999999998</v>
      </c>
      <c r="H165">
        <v>0.8</v>
      </c>
      <c r="I165" t="s">
        <v>39</v>
      </c>
      <c r="J165">
        <v>8</v>
      </c>
      <c r="K165">
        <v>9</v>
      </c>
      <c r="L165">
        <v>3</v>
      </c>
    </row>
    <row r="166" spans="1:12" x14ac:dyDescent="0.3">
      <c r="A166">
        <v>16</v>
      </c>
      <c r="B166" t="s">
        <v>36</v>
      </c>
      <c r="C166">
        <v>6.8</v>
      </c>
      <c r="D166" t="s">
        <v>32</v>
      </c>
      <c r="E166">
        <v>7.2</v>
      </c>
      <c r="F166">
        <v>2.5</v>
      </c>
      <c r="G166">
        <v>3.61</v>
      </c>
      <c r="H166">
        <v>0.5</v>
      </c>
      <c r="I166" t="s">
        <v>42</v>
      </c>
      <c r="J166">
        <v>10</v>
      </c>
      <c r="K166">
        <v>1</v>
      </c>
      <c r="L166">
        <v>9</v>
      </c>
    </row>
    <row r="167" spans="1:12" x14ac:dyDescent="0.3">
      <c r="A167">
        <v>17</v>
      </c>
      <c r="B167" t="s">
        <v>44</v>
      </c>
      <c r="C167">
        <v>8</v>
      </c>
      <c r="D167" t="s">
        <v>43</v>
      </c>
      <c r="E167">
        <v>4.5999999999999996</v>
      </c>
      <c r="F167">
        <v>2.6</v>
      </c>
      <c r="G167">
        <v>3.06</v>
      </c>
      <c r="H167">
        <v>0.1</v>
      </c>
      <c r="I167" t="s">
        <v>30</v>
      </c>
      <c r="J167">
        <v>9</v>
      </c>
      <c r="K167">
        <v>2</v>
      </c>
      <c r="L167">
        <v>6</v>
      </c>
    </row>
    <row r="168" spans="1:12" x14ac:dyDescent="0.3">
      <c r="A168">
        <v>13</v>
      </c>
      <c r="B168" t="s">
        <v>36</v>
      </c>
      <c r="C168">
        <v>7.3</v>
      </c>
      <c r="D168" t="s">
        <v>29</v>
      </c>
      <c r="E168">
        <v>8.9</v>
      </c>
      <c r="F168">
        <v>2.7</v>
      </c>
      <c r="G168">
        <v>3.68</v>
      </c>
      <c r="H168">
        <v>1.9</v>
      </c>
      <c r="I168" t="s">
        <v>39</v>
      </c>
      <c r="J168">
        <v>6</v>
      </c>
      <c r="K168">
        <v>6</v>
      </c>
      <c r="L168">
        <v>10</v>
      </c>
    </row>
    <row r="169" spans="1:12" x14ac:dyDescent="0.3">
      <c r="A169">
        <v>15</v>
      </c>
      <c r="B169" t="s">
        <v>36</v>
      </c>
      <c r="C169">
        <v>1.5</v>
      </c>
      <c r="D169" t="s">
        <v>29</v>
      </c>
      <c r="E169">
        <v>8.6999999999999993</v>
      </c>
      <c r="F169">
        <v>1.2</v>
      </c>
      <c r="G169">
        <v>2.52</v>
      </c>
      <c r="H169">
        <v>0.1</v>
      </c>
      <c r="I169" t="s">
        <v>39</v>
      </c>
      <c r="J169">
        <v>9</v>
      </c>
      <c r="K169">
        <v>7</v>
      </c>
      <c r="L169">
        <v>2</v>
      </c>
    </row>
    <row r="170" spans="1:12" x14ac:dyDescent="0.3">
      <c r="A170">
        <v>15</v>
      </c>
      <c r="B170" t="s">
        <v>36</v>
      </c>
      <c r="C170">
        <v>3.4</v>
      </c>
      <c r="D170" t="s">
        <v>43</v>
      </c>
      <c r="E170">
        <v>5</v>
      </c>
      <c r="F170">
        <v>1.8</v>
      </c>
      <c r="G170">
        <v>3.2</v>
      </c>
      <c r="H170">
        <v>1.5</v>
      </c>
      <c r="I170" t="s">
        <v>42</v>
      </c>
      <c r="J170">
        <v>4</v>
      </c>
      <c r="K170">
        <v>5</v>
      </c>
      <c r="L170">
        <v>1</v>
      </c>
    </row>
    <row r="171" spans="1:12" x14ac:dyDescent="0.3">
      <c r="A171">
        <v>15</v>
      </c>
      <c r="B171" t="s">
        <v>44</v>
      </c>
      <c r="C171">
        <v>7.3</v>
      </c>
      <c r="D171" t="s">
        <v>29</v>
      </c>
      <c r="E171">
        <v>4.8</v>
      </c>
      <c r="F171">
        <v>2.6</v>
      </c>
      <c r="G171">
        <v>3.81</v>
      </c>
      <c r="H171">
        <v>1.5</v>
      </c>
      <c r="I171" t="s">
        <v>39</v>
      </c>
      <c r="J171">
        <v>4</v>
      </c>
      <c r="K171">
        <v>7</v>
      </c>
      <c r="L171">
        <v>4</v>
      </c>
    </row>
    <row r="172" spans="1:12" x14ac:dyDescent="0.3">
      <c r="A172">
        <v>13</v>
      </c>
      <c r="B172" t="s">
        <v>36</v>
      </c>
      <c r="C172">
        <v>1.9</v>
      </c>
      <c r="D172" t="s">
        <v>32</v>
      </c>
      <c r="E172">
        <v>8.5</v>
      </c>
      <c r="F172">
        <v>0.8</v>
      </c>
      <c r="G172">
        <v>3.33</v>
      </c>
      <c r="H172">
        <v>1.3</v>
      </c>
      <c r="I172" t="s">
        <v>42</v>
      </c>
      <c r="J172">
        <v>5</v>
      </c>
      <c r="K172">
        <v>1</v>
      </c>
      <c r="L172">
        <v>3</v>
      </c>
    </row>
    <row r="173" spans="1:12" x14ac:dyDescent="0.3">
      <c r="A173">
        <v>17</v>
      </c>
      <c r="B173" t="s">
        <v>36</v>
      </c>
      <c r="C173">
        <v>3.9</v>
      </c>
      <c r="D173" t="s">
        <v>43</v>
      </c>
      <c r="E173">
        <v>8.1999999999999993</v>
      </c>
      <c r="F173">
        <v>1.3</v>
      </c>
      <c r="G173">
        <v>3.21</v>
      </c>
      <c r="H173">
        <v>1.8</v>
      </c>
      <c r="I173" t="s">
        <v>42</v>
      </c>
      <c r="J173">
        <v>3</v>
      </c>
      <c r="K173">
        <v>7</v>
      </c>
      <c r="L173">
        <v>7</v>
      </c>
    </row>
    <row r="174" spans="1:12" x14ac:dyDescent="0.3">
      <c r="A174">
        <v>18</v>
      </c>
      <c r="B174" t="s">
        <v>44</v>
      </c>
      <c r="C174">
        <v>1.3</v>
      </c>
      <c r="D174" t="s">
        <v>43</v>
      </c>
      <c r="E174">
        <v>5.8</v>
      </c>
      <c r="F174">
        <v>1.3</v>
      </c>
      <c r="G174">
        <v>3.35</v>
      </c>
      <c r="H174">
        <v>1.9</v>
      </c>
      <c r="I174" t="s">
        <v>42</v>
      </c>
      <c r="J174">
        <v>9</v>
      </c>
      <c r="K174">
        <v>4</v>
      </c>
      <c r="L174">
        <v>9</v>
      </c>
    </row>
    <row r="175" spans="1:12" x14ac:dyDescent="0.3">
      <c r="A175">
        <v>19</v>
      </c>
      <c r="B175" t="s">
        <v>44</v>
      </c>
      <c r="C175">
        <v>4.7</v>
      </c>
      <c r="D175" t="s">
        <v>32</v>
      </c>
      <c r="E175">
        <v>8.1999999999999993</v>
      </c>
      <c r="F175">
        <v>1.8</v>
      </c>
      <c r="G175">
        <v>2.2599999999999998</v>
      </c>
      <c r="H175">
        <v>1</v>
      </c>
      <c r="I175" t="s">
        <v>39</v>
      </c>
      <c r="J175">
        <v>7</v>
      </c>
      <c r="K175">
        <v>4</v>
      </c>
      <c r="L175">
        <v>7</v>
      </c>
    </row>
    <row r="176" spans="1:12" x14ac:dyDescent="0.3">
      <c r="A176">
        <v>15</v>
      </c>
      <c r="B176" t="s">
        <v>44</v>
      </c>
      <c r="C176">
        <v>1.9</v>
      </c>
      <c r="D176" t="s">
        <v>32</v>
      </c>
      <c r="E176">
        <v>5.8</v>
      </c>
      <c r="F176">
        <v>2.2999999999999998</v>
      </c>
      <c r="G176">
        <v>2.4700000000000002</v>
      </c>
      <c r="H176">
        <v>0.3</v>
      </c>
      <c r="I176" t="s">
        <v>30</v>
      </c>
      <c r="J176">
        <v>10</v>
      </c>
      <c r="K176">
        <v>9</v>
      </c>
      <c r="L176">
        <v>4</v>
      </c>
    </row>
    <row r="177" spans="1:12" x14ac:dyDescent="0.3">
      <c r="A177">
        <v>18</v>
      </c>
      <c r="B177" t="s">
        <v>36</v>
      </c>
      <c r="C177">
        <v>7</v>
      </c>
      <c r="D177" t="s">
        <v>29</v>
      </c>
      <c r="E177">
        <v>6.3</v>
      </c>
      <c r="F177">
        <v>1.6</v>
      </c>
      <c r="G177">
        <v>2.5499999999999998</v>
      </c>
      <c r="H177">
        <v>0.5</v>
      </c>
      <c r="I177" t="s">
        <v>42</v>
      </c>
      <c r="J177">
        <v>10</v>
      </c>
      <c r="K177">
        <v>1</v>
      </c>
      <c r="L177">
        <v>8</v>
      </c>
    </row>
    <row r="178" spans="1:12" x14ac:dyDescent="0.3">
      <c r="A178">
        <v>15</v>
      </c>
      <c r="B178" t="s">
        <v>44</v>
      </c>
      <c r="C178">
        <v>6.2</v>
      </c>
      <c r="D178" t="s">
        <v>32</v>
      </c>
      <c r="E178">
        <v>6.3</v>
      </c>
      <c r="F178">
        <v>1.7</v>
      </c>
      <c r="G178">
        <v>2.2599999999999998</v>
      </c>
      <c r="H178">
        <v>1.1000000000000001</v>
      </c>
      <c r="I178" t="s">
        <v>30</v>
      </c>
      <c r="J178">
        <v>9</v>
      </c>
      <c r="K178">
        <v>6</v>
      </c>
      <c r="L178">
        <v>2</v>
      </c>
    </row>
    <row r="179" spans="1:12" x14ac:dyDescent="0.3">
      <c r="A179">
        <v>14</v>
      </c>
      <c r="B179" t="s">
        <v>44</v>
      </c>
      <c r="C179">
        <v>3.2</v>
      </c>
      <c r="D179" t="s">
        <v>32</v>
      </c>
      <c r="E179">
        <v>8</v>
      </c>
      <c r="F179">
        <v>1.3</v>
      </c>
      <c r="G179">
        <v>2.5</v>
      </c>
      <c r="H179">
        <v>1.1000000000000001</v>
      </c>
      <c r="I179" t="s">
        <v>30</v>
      </c>
      <c r="J179">
        <v>2</v>
      </c>
      <c r="K179">
        <v>7</v>
      </c>
      <c r="L179">
        <v>5</v>
      </c>
    </row>
    <row r="180" spans="1:12" x14ac:dyDescent="0.3">
      <c r="A180">
        <v>18</v>
      </c>
      <c r="B180" t="s">
        <v>36</v>
      </c>
      <c r="C180">
        <v>4.5</v>
      </c>
      <c r="D180" t="s">
        <v>29</v>
      </c>
      <c r="E180">
        <v>7.9</v>
      </c>
      <c r="F180">
        <v>1.4</v>
      </c>
      <c r="G180">
        <v>2.38</v>
      </c>
      <c r="H180">
        <v>0.1</v>
      </c>
      <c r="I180" t="s">
        <v>30</v>
      </c>
      <c r="J180">
        <v>7</v>
      </c>
      <c r="K180">
        <v>9</v>
      </c>
      <c r="L180">
        <v>1</v>
      </c>
    </row>
    <row r="181" spans="1:12" x14ac:dyDescent="0.3">
      <c r="A181">
        <v>14</v>
      </c>
      <c r="B181" t="s">
        <v>36</v>
      </c>
      <c r="C181">
        <v>1.1000000000000001</v>
      </c>
      <c r="D181" t="s">
        <v>29</v>
      </c>
      <c r="E181">
        <v>6.1</v>
      </c>
      <c r="F181">
        <v>2.5</v>
      </c>
      <c r="G181">
        <v>2.8</v>
      </c>
      <c r="H181">
        <v>1.8</v>
      </c>
      <c r="I181" t="s">
        <v>30</v>
      </c>
      <c r="J181">
        <v>4</v>
      </c>
      <c r="K181">
        <v>10</v>
      </c>
      <c r="L181">
        <v>3</v>
      </c>
    </row>
    <row r="182" spans="1:12" x14ac:dyDescent="0.3">
      <c r="A182">
        <v>13</v>
      </c>
      <c r="B182" t="s">
        <v>44</v>
      </c>
      <c r="C182">
        <v>5.9</v>
      </c>
      <c r="D182" t="s">
        <v>43</v>
      </c>
      <c r="E182">
        <v>8</v>
      </c>
      <c r="F182">
        <v>2.8</v>
      </c>
      <c r="G182">
        <v>3.21</v>
      </c>
      <c r="H182">
        <v>1.6</v>
      </c>
      <c r="I182" t="s">
        <v>42</v>
      </c>
      <c r="J182">
        <v>2</v>
      </c>
      <c r="K182">
        <v>8</v>
      </c>
      <c r="L182">
        <v>8</v>
      </c>
    </row>
    <row r="183" spans="1:12" x14ac:dyDescent="0.3">
      <c r="A183">
        <v>17</v>
      </c>
      <c r="B183" t="s">
        <v>44</v>
      </c>
      <c r="C183">
        <v>5.0999999999999996</v>
      </c>
      <c r="D183" t="s">
        <v>29</v>
      </c>
      <c r="E183">
        <v>5</v>
      </c>
      <c r="F183">
        <v>2.2000000000000002</v>
      </c>
      <c r="G183">
        <v>3.58</v>
      </c>
      <c r="H183">
        <v>1.2</v>
      </c>
      <c r="I183" t="s">
        <v>30</v>
      </c>
      <c r="J183">
        <v>6</v>
      </c>
      <c r="K183">
        <v>3</v>
      </c>
      <c r="L183">
        <v>9</v>
      </c>
    </row>
    <row r="184" spans="1:12" x14ac:dyDescent="0.3">
      <c r="A184">
        <v>15</v>
      </c>
      <c r="B184" t="s">
        <v>44</v>
      </c>
      <c r="C184">
        <v>1.6</v>
      </c>
      <c r="D184" t="s">
        <v>43</v>
      </c>
      <c r="E184">
        <v>6.9</v>
      </c>
      <c r="F184">
        <v>2.2999999999999998</v>
      </c>
      <c r="G184">
        <v>3.16</v>
      </c>
      <c r="H184">
        <v>0.9</v>
      </c>
      <c r="I184" t="s">
        <v>42</v>
      </c>
      <c r="J184">
        <v>3</v>
      </c>
      <c r="K184">
        <v>1</v>
      </c>
      <c r="L184">
        <v>5</v>
      </c>
    </row>
    <row r="185" spans="1:12" x14ac:dyDescent="0.3">
      <c r="A185">
        <v>15</v>
      </c>
      <c r="B185" t="s">
        <v>36</v>
      </c>
      <c r="C185">
        <v>7.2</v>
      </c>
      <c r="D185" t="s">
        <v>32</v>
      </c>
      <c r="E185">
        <v>8</v>
      </c>
      <c r="F185">
        <v>1.4</v>
      </c>
      <c r="G185">
        <v>3.64</v>
      </c>
      <c r="H185">
        <v>0.4</v>
      </c>
      <c r="I185" t="s">
        <v>42</v>
      </c>
      <c r="J185">
        <v>10</v>
      </c>
      <c r="K185">
        <v>5</v>
      </c>
      <c r="L185">
        <v>7</v>
      </c>
    </row>
    <row r="186" spans="1:12" x14ac:dyDescent="0.3">
      <c r="A186">
        <v>17</v>
      </c>
      <c r="B186" t="s">
        <v>36</v>
      </c>
      <c r="C186">
        <v>1.4</v>
      </c>
      <c r="D186" t="s">
        <v>43</v>
      </c>
      <c r="E186">
        <v>6.9</v>
      </c>
      <c r="F186">
        <v>2.4</v>
      </c>
      <c r="G186">
        <v>3.06</v>
      </c>
      <c r="H186">
        <v>1.9</v>
      </c>
      <c r="I186" t="s">
        <v>42</v>
      </c>
      <c r="J186">
        <v>4</v>
      </c>
      <c r="K186">
        <v>10</v>
      </c>
      <c r="L186">
        <v>8</v>
      </c>
    </row>
    <row r="187" spans="1:12" x14ac:dyDescent="0.3">
      <c r="A187">
        <v>17</v>
      </c>
      <c r="B187" t="s">
        <v>36</v>
      </c>
      <c r="C187">
        <v>6.6</v>
      </c>
      <c r="D187" t="s">
        <v>43</v>
      </c>
      <c r="E187">
        <v>8</v>
      </c>
      <c r="F187">
        <v>2.2000000000000002</v>
      </c>
      <c r="G187">
        <v>2.21</v>
      </c>
      <c r="H187">
        <v>1</v>
      </c>
      <c r="I187" t="s">
        <v>30</v>
      </c>
      <c r="J187">
        <v>10</v>
      </c>
      <c r="K187">
        <v>8</v>
      </c>
      <c r="L187">
        <v>10</v>
      </c>
    </row>
    <row r="188" spans="1:12" x14ac:dyDescent="0.3">
      <c r="A188">
        <v>15</v>
      </c>
      <c r="B188" t="s">
        <v>36</v>
      </c>
      <c r="C188">
        <v>3.5</v>
      </c>
      <c r="D188" t="s">
        <v>43</v>
      </c>
      <c r="E188">
        <v>6.3</v>
      </c>
      <c r="F188">
        <v>0.8</v>
      </c>
      <c r="G188">
        <v>2.71</v>
      </c>
      <c r="H188">
        <v>1.8</v>
      </c>
      <c r="I188" t="s">
        <v>30</v>
      </c>
      <c r="J188">
        <v>7</v>
      </c>
      <c r="K188">
        <v>4</v>
      </c>
      <c r="L188">
        <v>2</v>
      </c>
    </row>
    <row r="189" spans="1:12" x14ac:dyDescent="0.3">
      <c r="A189">
        <v>17</v>
      </c>
      <c r="B189" t="s">
        <v>36</v>
      </c>
      <c r="C189">
        <v>5.4</v>
      </c>
      <c r="D189" t="s">
        <v>29</v>
      </c>
      <c r="E189">
        <v>6.3</v>
      </c>
      <c r="F189">
        <v>2.8</v>
      </c>
      <c r="G189">
        <v>3.06</v>
      </c>
      <c r="H189">
        <v>0.8</v>
      </c>
      <c r="I189" t="s">
        <v>39</v>
      </c>
      <c r="J189">
        <v>3</v>
      </c>
      <c r="K189">
        <v>7</v>
      </c>
      <c r="L189">
        <v>9</v>
      </c>
    </row>
    <row r="190" spans="1:12" x14ac:dyDescent="0.3">
      <c r="A190">
        <v>16</v>
      </c>
      <c r="B190" t="s">
        <v>36</v>
      </c>
      <c r="C190">
        <v>4.2</v>
      </c>
      <c r="D190" t="s">
        <v>29</v>
      </c>
      <c r="E190">
        <v>7.3</v>
      </c>
      <c r="F190">
        <v>1.1000000000000001</v>
      </c>
      <c r="G190">
        <v>3.1</v>
      </c>
      <c r="H190">
        <v>1.6</v>
      </c>
      <c r="I190" t="s">
        <v>42</v>
      </c>
      <c r="J190">
        <v>1</v>
      </c>
      <c r="K190">
        <v>6</v>
      </c>
      <c r="L190">
        <v>2</v>
      </c>
    </row>
    <row r="191" spans="1:12" x14ac:dyDescent="0.3">
      <c r="A191">
        <v>13</v>
      </c>
      <c r="B191" t="s">
        <v>44</v>
      </c>
      <c r="C191">
        <v>2.5</v>
      </c>
      <c r="D191" t="s">
        <v>43</v>
      </c>
      <c r="E191">
        <v>8.3000000000000007</v>
      </c>
      <c r="F191">
        <v>1.6</v>
      </c>
      <c r="G191">
        <v>2.91</v>
      </c>
      <c r="H191">
        <v>0.6</v>
      </c>
      <c r="I191" t="s">
        <v>30</v>
      </c>
      <c r="J191">
        <v>10</v>
      </c>
      <c r="K191">
        <v>2</v>
      </c>
      <c r="L191">
        <v>6</v>
      </c>
    </row>
    <row r="192" spans="1:12" x14ac:dyDescent="0.3">
      <c r="A192">
        <v>16</v>
      </c>
      <c r="B192" t="s">
        <v>36</v>
      </c>
      <c r="C192">
        <v>3.8</v>
      </c>
      <c r="D192" t="s">
        <v>32</v>
      </c>
      <c r="E192">
        <v>6</v>
      </c>
      <c r="F192">
        <v>3</v>
      </c>
      <c r="G192">
        <v>2.1</v>
      </c>
      <c r="H192">
        <v>0.2</v>
      </c>
      <c r="I192" t="s">
        <v>39</v>
      </c>
      <c r="J192">
        <v>7</v>
      </c>
      <c r="K192">
        <v>9</v>
      </c>
      <c r="L192">
        <v>1</v>
      </c>
    </row>
    <row r="193" spans="1:12" x14ac:dyDescent="0.3">
      <c r="A193">
        <v>13</v>
      </c>
      <c r="B193" t="s">
        <v>44</v>
      </c>
      <c r="C193">
        <v>1.8</v>
      </c>
      <c r="D193" t="s">
        <v>43</v>
      </c>
      <c r="E193">
        <v>8.9</v>
      </c>
      <c r="F193">
        <v>1.2</v>
      </c>
      <c r="G193">
        <v>3.67</v>
      </c>
      <c r="H193">
        <v>0.1</v>
      </c>
      <c r="I193" t="s">
        <v>42</v>
      </c>
      <c r="J193">
        <v>2</v>
      </c>
      <c r="K193">
        <v>8</v>
      </c>
      <c r="L193">
        <v>9</v>
      </c>
    </row>
    <row r="194" spans="1:12" x14ac:dyDescent="0.3">
      <c r="A194">
        <v>14</v>
      </c>
      <c r="B194" t="s">
        <v>44</v>
      </c>
      <c r="C194">
        <v>5.4</v>
      </c>
      <c r="D194" t="s">
        <v>43</v>
      </c>
      <c r="E194">
        <v>5.6</v>
      </c>
      <c r="F194">
        <v>1.8</v>
      </c>
      <c r="G194">
        <v>3.01</v>
      </c>
      <c r="H194">
        <v>0.9</v>
      </c>
      <c r="I194" t="s">
        <v>39</v>
      </c>
      <c r="J194">
        <v>10</v>
      </c>
      <c r="K194">
        <v>6</v>
      </c>
      <c r="L194">
        <v>8</v>
      </c>
    </row>
    <row r="195" spans="1:12" x14ac:dyDescent="0.3">
      <c r="A195">
        <v>14</v>
      </c>
      <c r="B195" t="s">
        <v>36</v>
      </c>
      <c r="C195">
        <v>7.7</v>
      </c>
      <c r="D195" t="s">
        <v>43</v>
      </c>
      <c r="E195">
        <v>6.1</v>
      </c>
      <c r="F195">
        <v>0.8</v>
      </c>
      <c r="G195">
        <v>3.47</v>
      </c>
      <c r="H195">
        <v>1.5</v>
      </c>
      <c r="I195" t="s">
        <v>42</v>
      </c>
      <c r="J195">
        <v>9</v>
      </c>
      <c r="K195">
        <v>10</v>
      </c>
      <c r="L195">
        <v>9</v>
      </c>
    </row>
    <row r="196" spans="1:12" x14ac:dyDescent="0.3">
      <c r="A196">
        <v>18</v>
      </c>
      <c r="B196" t="s">
        <v>36</v>
      </c>
      <c r="C196">
        <v>4.0999999999999996</v>
      </c>
      <c r="D196" t="s">
        <v>43</v>
      </c>
      <c r="E196">
        <v>8</v>
      </c>
      <c r="F196">
        <v>1.7</v>
      </c>
      <c r="G196">
        <v>2.29</v>
      </c>
      <c r="H196">
        <v>1.4</v>
      </c>
      <c r="I196" t="s">
        <v>39</v>
      </c>
      <c r="J196">
        <v>2</v>
      </c>
      <c r="K196">
        <v>1</v>
      </c>
      <c r="L196">
        <v>10</v>
      </c>
    </row>
    <row r="197" spans="1:12" x14ac:dyDescent="0.3">
      <c r="A197">
        <v>15</v>
      </c>
      <c r="B197" t="s">
        <v>36</v>
      </c>
      <c r="C197">
        <v>6.6</v>
      </c>
      <c r="D197" t="s">
        <v>29</v>
      </c>
      <c r="E197">
        <v>4.9000000000000004</v>
      </c>
      <c r="F197">
        <v>3</v>
      </c>
      <c r="G197">
        <v>2.99</v>
      </c>
      <c r="H197">
        <v>0.9</v>
      </c>
      <c r="I197" t="s">
        <v>42</v>
      </c>
      <c r="J197">
        <v>4</v>
      </c>
      <c r="K197">
        <v>8</v>
      </c>
      <c r="L197">
        <v>3</v>
      </c>
    </row>
    <row r="198" spans="1:12" x14ac:dyDescent="0.3">
      <c r="A198">
        <v>16</v>
      </c>
      <c r="B198" t="s">
        <v>44</v>
      </c>
      <c r="C198">
        <v>2.2999999999999998</v>
      </c>
      <c r="D198" t="s">
        <v>29</v>
      </c>
      <c r="E198">
        <v>4.0999999999999996</v>
      </c>
      <c r="F198">
        <v>0.8</v>
      </c>
      <c r="G198">
        <v>3.18</v>
      </c>
      <c r="H198">
        <v>1.7</v>
      </c>
      <c r="I198" t="s">
        <v>42</v>
      </c>
      <c r="J198">
        <v>5</v>
      </c>
      <c r="K198">
        <v>3</v>
      </c>
      <c r="L198">
        <v>8</v>
      </c>
    </row>
    <row r="199" spans="1:12" x14ac:dyDescent="0.3">
      <c r="A199">
        <v>17</v>
      </c>
      <c r="B199" t="s">
        <v>36</v>
      </c>
      <c r="C199">
        <v>7.5</v>
      </c>
      <c r="D199" t="s">
        <v>43</v>
      </c>
      <c r="E199">
        <v>5.9</v>
      </c>
      <c r="F199">
        <v>2.9</v>
      </c>
      <c r="G199">
        <v>3.71</v>
      </c>
      <c r="H199">
        <v>1.7</v>
      </c>
      <c r="I199" t="s">
        <v>39</v>
      </c>
      <c r="J199">
        <v>3</v>
      </c>
      <c r="K199">
        <v>1</v>
      </c>
      <c r="L199">
        <v>10</v>
      </c>
    </row>
    <row r="200" spans="1:12" x14ac:dyDescent="0.3">
      <c r="A200">
        <v>18</v>
      </c>
      <c r="B200" t="s">
        <v>44</v>
      </c>
      <c r="C200">
        <v>7.1</v>
      </c>
      <c r="D200" t="s">
        <v>43</v>
      </c>
      <c r="E200">
        <v>8</v>
      </c>
      <c r="F200">
        <v>2.9</v>
      </c>
      <c r="G200">
        <v>2.59</v>
      </c>
      <c r="H200">
        <v>1.2</v>
      </c>
      <c r="I200" t="s">
        <v>30</v>
      </c>
      <c r="J200">
        <v>10</v>
      </c>
      <c r="K200">
        <v>8</v>
      </c>
      <c r="L200">
        <v>5</v>
      </c>
    </row>
    <row r="201" spans="1:12" x14ac:dyDescent="0.3">
      <c r="A201">
        <v>17</v>
      </c>
      <c r="B201" t="s">
        <v>36</v>
      </c>
      <c r="C201">
        <v>1.7</v>
      </c>
      <c r="D201" t="s">
        <v>29</v>
      </c>
      <c r="E201">
        <v>6.3</v>
      </c>
      <c r="F201">
        <v>1.5</v>
      </c>
      <c r="G201">
        <v>2.66</v>
      </c>
      <c r="H201">
        <v>1.8</v>
      </c>
      <c r="I201" t="s">
        <v>39</v>
      </c>
      <c r="J201">
        <v>1</v>
      </c>
      <c r="K201">
        <v>4</v>
      </c>
      <c r="L201">
        <v>10</v>
      </c>
    </row>
  </sheetData>
  <conditionalFormatting sqref="J1 J202:J65536">
    <cfRule type="iconSet" priority="2">
      <iconSet iconSet="3Arrow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8080261B-2DAE-4FBA-A0DC-3E8D6A115780}">
            <x14:iconSet iconSet="3Triangles">
              <x14:cfvo type="percent">
                <xm:f>0</xm:f>
              </x14:cfvo>
              <x14:cfvo type="percent">
                <xm:f>33</xm:f>
              </x14:cfvo>
              <x14:cfvo type="percent">
                <xm:f>67</xm:f>
              </x14:cfvo>
            </x14:iconSet>
          </x14:cfRule>
          <xm:sqref>J2:J201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Dashboard</vt:lpstr>
      <vt:lpstr>Formulas</vt:lpstr>
      <vt:lpstr>slicer</vt:lpstr>
      <vt:lpstr>Harsh_ExcelDashboard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2026-05-03T16:56:36Z</dcterms:modified>
</cp:coreProperties>
</file>
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theme+xml" PartName="/xl/theme/theme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xml" PartName="/customXml/CustomRelationsSummary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xml" PartName="/customXml/CustomRelationsDashboard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Offline"/>
  <workbookPr date1904="0"/>
  <bookViews>
    <workbookView xWindow="0" yWindow="0" windowWidth="0" windowHeight="0" activeTab="3"/>
  </bookViews>
  <sheets>
    <sheet name="Summary" sheetId="1" state="visible" r:id="rId4"/>
    <sheet name="Dashboard" sheetId="2" state="visible" r:id="rId5"/>
    <sheet name="Formulas" sheetId="3" state="visible" r:id="rId6"/>
    <sheet name="Harsh_ExcelDashboard" sheetId="4" state="visible" r:id="rId7"/>
  </sheets>
  <definedNames>
    <definedName name="Slicer_Platform_Usage">#N/A</definedName>
    <definedName name="Slicer_Gender">#N/A</definedName>
  </definedNames>
</workbook>
</file>

<file path=xl/sharedStrings.xml><?xml version="1.0" encoding="utf-8"?>
<sst xmlns="http://schemas.openxmlformats.org/spreadsheetml/2006/main" uniqueCount="45">
  <si>
    <t>GENDER VS SLEEP HOURS AND USE</t>
  </si>
  <si>
    <t>NESTED IF</t>
  </si>
  <si>
    <t>ACADEMIC PERFORMANCE</t>
  </si>
  <si>
    <t>INDEX-MATCH</t>
  </si>
  <si>
    <t>ACADEMEIC PERFOMANCE</t>
  </si>
  <si>
    <t>ENTER AGE</t>
  </si>
  <si>
    <t>Use VLOOKUP to find the Academic Performance of a student based on their Age.</t>
  </si>
  <si>
    <t>Average of Anxiety_Level</t>
  </si>
  <si>
    <t>Use IF function to classify students as “High Risk” or “Low Risk” based on Addiction Level.</t>
  </si>
  <si>
    <t>Average Daily use</t>
  </si>
  <si>
    <t>(blank)</t>
  </si>
  <si>
    <t>Addiction_Level</t>
  </si>
  <si>
    <t>Platform</t>
  </si>
  <si>
    <t>Anxiety_Level</t>
  </si>
  <si>
    <t>Stress_Level</t>
  </si>
  <si>
    <t>Physical_Activity</t>
  </si>
  <si>
    <t>RISK</t>
  </si>
  <si>
    <t>VLOOKUP</t>
  </si>
  <si>
    <t>Grand Total</t>
  </si>
  <si>
    <t>Academic_Performance</t>
  </si>
  <si>
    <t>Sleep_Hours</t>
  </si>
  <si>
    <t>SLEEP HOURS AND USE VS PLATFORM</t>
  </si>
  <si>
    <t>Stress Level</t>
  </si>
  <si>
    <t>Daily_Social_Media_Hours</t>
  </si>
  <si>
    <t>IF CONDITION</t>
  </si>
  <si>
    <t>Social_Interaction_Level</t>
  </si>
  <si>
    <t>Gender</t>
  </si>
  <si>
    <t>Age</t>
  </si>
  <si>
    <t>Use Nested IF to categorize Academic Performance of students.</t>
  </si>
  <si>
    <t>Both</t>
  </si>
  <si>
    <t>high</t>
  </si>
  <si>
    <t>Average of Academic_Performance</t>
  </si>
  <si>
    <t>TikTok</t>
  </si>
  <si>
    <t>PLATFORM USAGE VS ACADEMIC PERFORMANCE</t>
  </si>
  <si>
    <t>STRESS LEVEL</t>
  </si>
  <si>
    <t>Platform_Usage</t>
  </si>
  <si>
    <t>female</t>
  </si>
  <si>
    <t>Average  Sleep_Hours</t>
  </si>
  <si>
    <t>Screen_Time_Before_Sleep</t>
  </si>
  <si>
    <t>low</t>
  </si>
  <si>
    <t>STATUS</t>
  </si>
  <si>
    <t>Use INDEX-MATCH to find the Stress Level of a student based on Age.</t>
  </si>
  <si>
    <t>medium</t>
  </si>
  <si>
    <t>Instagram</t>
  </si>
  <si>
    <t>male</t>
  </si>
</sst>
</file>

<file path=xl/styles.xml><?xml version="1.0" encoding="utf-8"?>
<styleSheet xmlns="http://schemas.openxmlformats.org/spreadsheetml/2006/main">
  <numFmts count="2">
    <numFmt numFmtId="0" formatCode="General"/>
    <numFmt numFmtId="1" formatCode="0.00"/>
  </numFmts>
  <fonts count="4">
    <font>
      <name val="Calibri"/>
      <b val="0"/>
      <i val="0"/>
      <strike val="0"/>
      <color theme="1"/>
      <sz val="11"/>
      <u val="none"/>
      <scheme val="minor"/>
    </font>
    <font>
      <name val="Calibri"/>
      <b/>
      <i val="0"/>
      <strike val="0"/>
      <color theme="1"/>
      <sz val="11"/>
      <u val="none"/>
      <scheme val="minor"/>
    </font>
    <font>
      <name val="Calibri"/>
      <b/>
      <i val="0"/>
      <strike val="0"/>
      <color theme="1"/>
      <sz val="11"/>
      <u val="single"/>
      <scheme val="minor"/>
    </font>
    <font>
      <name val="Aptos Narrow"/>
      <b/>
      <i val="0"/>
      <strike val="0"/>
      <color theme="1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theme="3" tint="0.3999755851924192"/>
        <bgColor rgb="FF000000"/>
      </patternFill>
    </fill>
    <fill>
      <patternFill patternType="solid">
        <fgColor theme="2" tint="-0.249977111117893"/>
        <bgColor rgb="FF000000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Xfs count="32">
    <xf applyAlignment="1" applyBorder="1" applyFill="1" applyFont="1" applyNumberFormat="1" applyProtection="0" borderId="0" fillId="0" fontId="0" numFmtId="0" xfId="0">
      <alignment horizontal="general" vertical="bottom" wrapText="0" justifyLastLine="0" shrinkToFit="0"/>
    </xf>
    <xf applyAlignment="1" applyBorder="1" applyFill="1" applyFont="1" applyNumberFormat="1" applyProtection="0" borderId="0" fillId="0" fontId="0" numFmtId="0" xfId="0">
      <alignment horizontal="left" vertical="bottom" wrapText="0" justifyLastLine="0" shrinkToFit="0"/>
    </xf>
    <xf applyAlignment="1" applyBorder="1" applyFill="1" applyFont="1" applyNumberFormat="1" applyProtection="0" borderId="0" fillId="0" fontId="0" numFmtId="1" xfId="0">
      <alignment horizontal="general" vertical="bottom" wrapText="0" justifyLastLine="0" shrinkToFit="0"/>
    </xf>
    <xf applyAlignment="1" applyBorder="1" applyFill="1" applyFont="1" applyNumberFormat="1" applyProtection="0" borderId="1" fillId="2" fontId="1" numFmtId="0" xfId="0">
      <alignment horizontal="general" vertical="bottom" wrapText="0" justifyLastLine="0" shrinkToFit="0"/>
    </xf>
    <xf applyAlignment="1" applyBorder="1" applyFill="1" applyFont="1" applyNumberFormat="1" applyProtection="0" borderId="2" fillId="2" fontId="1" numFmtId="0" xfId="0">
      <alignment horizontal="general" vertical="bottom" wrapText="0" justifyLastLine="0" shrinkToFit="0"/>
    </xf>
    <xf applyAlignment="1" applyBorder="1" applyFill="1" applyFont="1" applyNumberFormat="1" applyProtection="0" borderId="3" fillId="2" fontId="1" numFmtId="0" xfId="0">
      <alignment horizontal="general" vertical="bottom" wrapText="0" justifyLastLine="0" shrinkToFit="0"/>
    </xf>
    <xf applyAlignment="1" applyBorder="1" applyFill="1" applyFont="1" applyNumberFormat="1" applyProtection="0" borderId="4" fillId="2" fontId="2" numFmtId="0" xfId="0">
      <alignment horizontal="general" vertical="bottom" wrapText="0" justifyLastLine="0" shrinkToFit="0"/>
    </xf>
    <xf applyAlignment="1" applyBorder="1" applyFill="1" applyFont="1" applyNumberFormat="1" applyProtection="0" borderId="4" fillId="2" fontId="1" numFmtId="0" xfId="0">
      <alignment horizontal="general" vertical="bottom" wrapText="0" justifyLastLine="0" shrinkToFit="0"/>
    </xf>
    <xf applyAlignment="1" applyBorder="1" applyFill="1" applyFont="1" applyNumberFormat="1" applyProtection="0" borderId="5" fillId="3" fontId="1" numFmtId="0" xfId="0">
      <alignment horizontal="general" vertical="bottom" wrapText="0" justifyLastLine="0" shrinkToFit="0"/>
    </xf>
    <xf applyAlignment="1" applyBorder="1" applyFill="1" applyFont="1" applyNumberFormat="1" applyProtection="0" borderId="6" fillId="3" fontId="1" numFmtId="0" xfId="0">
      <alignment horizontal="general" vertical="bottom" wrapText="0" justifyLastLine="0" shrinkToFit="0"/>
    </xf>
    <xf applyAlignment="1" applyBorder="1" applyFill="1" applyFont="1" applyNumberFormat="1" applyProtection="0" borderId="7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8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9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0" fillId="3" fontId="1" numFmtId="0" xfId="0">
      <alignment horizontal="general" vertical="bottom" wrapText="0" justifyLastLine="0" shrinkToFit="0"/>
    </xf>
    <xf applyAlignment="1" applyBorder="1" applyFill="1" applyFont="1" applyNumberFormat="1" applyProtection="0" borderId="11" fillId="3" fontId="1" numFmtId="0" xfId="0">
      <alignment horizontal="general" vertical="bottom" wrapText="0" justifyLastLine="0" shrinkToFit="0"/>
    </xf>
    <xf applyAlignment="1" applyBorder="1" applyFill="1" applyFont="1" applyNumberFormat="1" applyProtection="0" borderId="12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3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4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5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6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7" fillId="3" fontId="0" numFmtId="0" xfId="0">
      <alignment horizontal="general" vertical="bottom" wrapText="0" justifyLastLine="0" shrinkToFit="0"/>
    </xf>
    <xf applyAlignment="1" applyBorder="1" applyFill="1" applyFont="1" applyNumberFormat="1" applyProtection="0" borderId="1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5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3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10" fillId="3" fontId="1" numFmtId="0" xfId="0">
      <alignment horizontal="center" vertical="bottom" wrapText="0" justifyLastLine="0" shrinkToFit="0"/>
    </xf>
    <xf applyAlignment="1" applyBorder="1" applyFill="1" applyFont="1" applyNumberFormat="1" applyProtection="0" borderId="18" fillId="3" fontId="1" numFmtId="0" xfId="0">
      <alignment horizontal="center" vertical="bottom" wrapText="0" justifyLastLine="0" shrinkToFit="0"/>
    </xf>
    <xf applyAlignment="1" applyBorder="1" applyFill="1" applyFont="1" applyNumberFormat="1" applyProtection="0" borderId="19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20" fillId="2" fontId="1" numFmtId="0" xfId="0">
      <alignment horizontal="center" vertical="bottom" wrapText="0" justifyLastLine="0" shrinkToFit="0"/>
    </xf>
    <xf applyAlignment="1" applyBorder="1" applyFill="1" applyFont="1" applyNumberFormat="1" applyProtection="0" borderId="21" fillId="2" fontId="1" numFmtId="0" xfId="0">
      <alignment horizontal="center" vertical="bottom" wrapText="0" justifyLastLine="0" shrinkToFit="0"/>
    </xf>
    <xf applyAlignment="1" applyBorder="1" applyFill="1" applyFont="1" applyNumberFormat="1" applyProtection="0" borderId="2" fillId="3" fontId="0" numFmtId="0" xfId="0">
      <alignment horizontal="center" vertical="bottom" wrapText="0" justifyLastLine="0" shrinkToFit="0"/>
    </xf>
    <xf applyAlignment="1" applyBorder="1" applyFill="1" applyFont="1" applyNumberFormat="1" applyProtection="0" borderId="0" fillId="0" fontId="1" numFmtId="0" xfId="0">
      <alignment horizontal="center" vertical="bottom" wrapText="0" justifyLastLine="0" shrinkToFit="0"/>
    </xf>
    <xf applyAlignment="1" applyBorder="1" applyFill="1" applyFont="1" applyNumberFormat="1" applyProtection="0" borderId="0" fillId="0" fontId="3" numFmtId="0" xfId="0">
      <alignment horizontal="center" vertical="bottom" wrapText="0" justifyLastLine="0" shrinkToFit="0"/>
    </xf>
  </cellXfs>
  <cellStyles count="1">
    <cellStyle xfId="0" builtinId="0" name="Normal"/>
  </cellStyles>
  <dxfs count="1">
    <dxf>
      <fill>
        <patternFill patternType="none"/>
      </fill>
    </dxf>
  </dxfs>
  <tableStyles defaultTableStyle="TableStyleMedium2">
    <tableStyle name="Slicer Style 1"/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2000" b="0" i="0">
                <a:solidFill>
                  <a:srgbClr val="000000"/>
                </a:solidFill>
              </a:rPr>
              <a:t>Chart Title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</c:strRef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('Summary'!$A$4:$A$8)</c:f>
            </c:strRef>
          </c:cat>
          <c:val>
            <c:numRef>
              <c:f>('Summary'!$B$4:$B$8)</c:f>
              <c:numCache/>
            </c:numRef>
          </c:val>
        </c:ser>
        <c:ser>
          <c:idx val="1"/>
          <c:order val="1"/>
          <c:tx>
            <c:strRef>
              <c:f>Summary!$C$3</c:f>
            </c:strRef>
          </c:tx>
          <c:spPr>
            <a:solidFill>
              <a:srgbClr val="2ECC71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('Summary'!$A$4:$A$8)</c:f>
            </c:strRef>
          </c:cat>
          <c:val>
            <c:numRef>
              <c:f>('Summary'!$C$4:$C$8)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900" b="0" i="0">
                <a:solidFill>
                  <a:srgbClr val="D9D9D9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D9D9D9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D9D9D9"/>
              </a:solidFill>
            </a:defRPr>
          </a:pPr>
        </a:p>
      </c:txPr>
    </c:legend>
    <c:plotVisOnly val="1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2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2000" b="0" i="0">
                <a:solidFill>
                  <a:srgbClr val="000000"/>
                </a:solidFill>
              </a:rPr>
              <a:t>Chart Title</a:t>
            </a:r>
          </a:p>
        </c:rich>
      </c:tx>
      <c:overlay val="0"/>
    </c:title>
    <c:autoTitleDeleted val="0"/>
    <c:view3D>
      <c:rotX val="15"/>
      <c:rotY val="20"/>
    </c:view3D>
    <c:plotArea>
      <c:bar3DChart>
        <c:barDir val="col"/>
        <c:grouping val="clustered"/>
        <c:varyColors val="0"/>
        <c:ser>
          <c:idx val="0"/>
          <c:order val="0"/>
          <c:tx>
            <c:strRef>
              <c:f>Summary!$H$3</c:f>
            </c:strRef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('Summary'!$G$4:$G$7)</c:f>
            </c:strRef>
          </c:cat>
          <c:val>
            <c:numRef>
              <c:f>('Summary'!$H$4:$H$7)</c:f>
              <c:numCache/>
            </c:numRef>
          </c:val>
        </c:ser>
        <c:ser>
          <c:idx val="1"/>
          <c:order val="1"/>
          <c:tx>
            <c:strRef>
              <c:f>Summary!$I$3</c:f>
            </c:strRef>
          </c:tx>
          <c:spPr>
            <a:solidFill>
              <a:srgbClr val="2ECC71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('Summary'!$G$4:$G$7)</c:f>
            </c:strRef>
          </c:cat>
          <c:val>
            <c:numRef>
              <c:f>('Summary'!$I$4:$I$7)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3D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900" b="0" i="0">
                <a:solidFill>
                  <a:srgbClr val="D9D9D9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808080">
                  <a:alpha val="10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D9D9D9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D9D9D9"/>
              </a:solidFill>
            </a:defRPr>
          </a:pPr>
        </a:p>
      </c:txPr>
    </c:legend>
    <c:plotVisOnly val="1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3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1400" b="1" i="0">
                <a:solidFill>
                  <a:srgbClr val="D9D9D9"/>
                </a:solidFill>
              </a:rPr>
              <a:t>Chart Title</a:t>
            </a:r>
          </a:p>
        </c:rich>
      </c:tx>
      <c:overlay val="0"/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Summary!$B$25</c:f>
            </c:strRef>
          </c:tx>
          <c:spPr>
            <a:solidFill>
              <a:srgbClr val="3498DB">
                <a:alpha val="100000"/>
              </a:srgbClr>
            </a:solidFill>
            <a:ln w="28575">
              <a:solidFill>
                <a:srgbClr val="4472C4"/>
              </a:solidFill>
            </a:ln>
          </c:spPr>
          <c:invertIfNegative val="0"/>
          <c:cat>
            <c:strRef>
              <c:f>('Summary'!$A$26:$A$29)</c:f>
            </c:strRef>
          </c:cat>
          <c:val>
            <c:numRef>
              <c:f>('Summary'!$B$26:$B$29)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FFFFFF"/>
                  </a:solidFill>
                </a:defRPr>
              </a:pPr>
              <a:endParaRPr sz="1200" b="0" i="0">
                <a:solidFill>
                  <a:srgbClr val="FFFFFF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 rot="0"/>
          <a:p>
            <a:pPr>
              <a:defRPr sz="900" b="0" i="0">
                <a:solidFill>
                  <a:srgbClr val="BFBFBF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b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BFBFBF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BFBFBF"/>
              </a:solidFill>
            </a:defRPr>
          </a:pPr>
        </a:p>
      </c:txPr>
    </c:legend>
    <c:plotVisOnly val="1"/>
  </c:chart>
  <c:spPr>
    <a:solidFill>
      <a:srgbClr val="404040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4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1500" b="1" i="0">
                <a:solidFill>
                  <a:srgbClr val="FFFFFF"/>
                </a:solidFill>
              </a:rPr>
              <a:t>Chart Title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Summary!$H$25</c:f>
            </c:strRef>
          </c:tx>
          <c:spPr>
            <a:solidFill>
              <a:srgbClr val="FFFFFF">
                <a:alpha val="100000"/>
              </a:srgbClr>
            </a:solidFill>
            <a:ln w="28575">
              <a:solidFill>
                <a:srgbClr val="FF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('Summary'!$G$26:$G$29)</c:f>
            </c:strRef>
          </c:cat>
          <c:val>
            <c:numRef>
              <c:f>('Summary'!$H$26:$H$29)</c:f>
              <c:numCache/>
            </c:numRef>
          </c:val>
          <c:smooth val="0"/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FFFFFF"/>
                  </a:solidFill>
                </a:defRPr>
              </a:pPr>
              <a:endParaRPr sz="1200" b="0" i="0">
                <a:solidFill>
                  <a:srgbClr val="FFFFFF"/>
                </a:solidFill>
              </a:endParaRPr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900" b="0" i="0">
                <a:solidFill>
                  <a:srgbClr val="FFFFFF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TickMark val="none"/>
        <c:minorTickMark val="none"/>
        <c:txPr>
          <a:bodyPr/>
          <a:p>
            <a:pPr>
              <a:defRPr sz="900" b="0" i="0">
                <a:solidFill>
                  <a:srgbClr val="FFFFFF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FFFFFF"/>
              </a:solidFill>
            </a:defRPr>
          </a:pPr>
        </a:p>
      </c:txPr>
    </c:legend>
    <c:plotVisOnly val="1"/>
  </c:chart>
  <c:spPr>
    <a:solidFill>
      <a:srgbClr val="4472C4">
        <a:alpha val="100000"/>
      </a:srgbClr>
    </a:solidFill>
    <a:ln>
      <a:solidFill>
        <a:srgbClr val="4472C4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5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2000" b="0" i="0">
                <a:solidFill>
                  <a:srgbClr val="FFFFFF"/>
                </a:solidFill>
              </a:rPr>
              <a:t>Chart Title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Summary!$B$3</c:f>
            </c:strRef>
          </c:tx>
          <c:spPr>
            <a:solidFill>
              <a:srgbClr val="3498DB">
                <a:alpha val="100000"/>
              </a:srgbClr>
            </a:solidFill>
            <a:ln w="28575">
              <a:solidFill>
                <a:srgbClr val="4472C4"/>
              </a:solidFill>
            </a:ln>
          </c:spPr>
          <c:invertIfNegative val="0"/>
          <c:cat>
            <c:strRef>
              <c:f>('Summary'!$A$4:$A$8)</c:f>
            </c:strRef>
          </c:cat>
          <c:val>
            <c:numRef>
              <c:f>('Summary'!$B$4:$B$8)</c:f>
              <c:numCache/>
            </c:numRef>
          </c:val>
        </c:ser>
        <c:ser>
          <c:idx val="1"/>
          <c:order val="1"/>
          <c:tx>
            <c:strRef>
              <c:f>Summary!$C$3</c:f>
            </c:strRef>
          </c:tx>
          <c:spPr>
            <a:solidFill>
              <a:srgbClr val="2ECC71">
                <a:alpha val="100000"/>
              </a:srgbClr>
            </a:solidFill>
            <a:ln w="28575">
              <a:solidFill>
                <a:srgbClr val="ED7D31"/>
              </a:solidFill>
            </a:ln>
          </c:spPr>
          <c:invertIfNegative val="0"/>
          <c:cat>
            <c:strRef>
              <c:f>('Summary'!$A$4:$A$8)</c:f>
            </c:strRef>
          </c:cat>
          <c:val>
            <c:numRef>
              <c:f>('Summary'!$C$4:$C$8)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FFFFFF"/>
                  </a:solidFill>
                </a:defRPr>
              </a:pPr>
              <a:endParaRPr sz="1200" b="0" i="0">
                <a:solidFill>
                  <a:srgbClr val="FFFFFF"/>
                </a:solidFill>
              </a:endParaRPr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Chart>
      <c:cat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 rot="0"/>
          <a:p>
            <a:pPr>
              <a:defRPr sz="900" b="0" i="0">
                <a:solidFill>
                  <a:srgbClr val="BFBFBF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BFBFBF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BFBFBF"/>
              </a:solidFill>
            </a:defRPr>
          </a:pPr>
        </a:p>
      </c:txPr>
    </c:legend>
    <c:plotVisOnly val="1"/>
  </c:chart>
  <c:spPr>
    <a:solidFill>
      <a:srgbClr val="404040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6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2000" b="0" i="0">
                <a:solidFill>
                  <a:srgbClr val="000000"/>
                </a:solidFill>
              </a:rPr>
              <a:t>Chart Title</a:t>
            </a:r>
          </a:p>
        </c:rich>
      </c:tx>
      <c:overlay val="0"/>
    </c:title>
    <c:autoTitleDeleted val="0"/>
    <c:view3D>
      <c:rotX val="15"/>
      <c:rotY val="20"/>
    </c:view3D>
    <c:plotArea>
      <c:bar3DChart>
        <c:barDir val="col"/>
        <c:grouping val="clustered"/>
        <c:varyColors val="0"/>
        <c:ser>
          <c:idx val="0"/>
          <c:order val="0"/>
          <c:tx>
            <c:strRef>
              <c:f>Summary!$H$3</c:f>
            </c:strRef>
          </c:tx>
          <c:spPr>
            <a:solidFill>
              <a:srgbClr val="3498DB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('Summary'!$G$4:$G$7)</c:f>
            </c:strRef>
          </c:cat>
          <c:val>
            <c:numRef>
              <c:f>('Summary'!$H$4:$H$7)</c:f>
              <c:numCache/>
            </c:numRef>
          </c:val>
        </c:ser>
        <c:ser>
          <c:idx val="1"/>
          <c:order val="1"/>
          <c:tx>
            <c:strRef>
              <c:f>Summary!$I$3</c:f>
            </c:strRef>
          </c:tx>
          <c:spPr>
            <a:solidFill>
              <a:srgbClr val="2ECC71">
                <a:alpha val="100000"/>
              </a:srgbClr>
            </a:solidFill>
            <a:ln w="28575">
              <a:noFill/>
            </a:ln>
          </c:spPr>
          <c:invertIfNegative val="0"/>
          <c:cat>
            <c:strRef>
              <c:f>('Summary'!$G$4:$G$7)</c:f>
            </c:strRef>
          </c:cat>
          <c:val>
            <c:numRef>
              <c:f>('Summary'!$I$4:$I$7)</c:f>
              <c:numCache/>
            </c:numRef>
          </c:val>
        </c:ser>
        <c:dLbls>
          <c:txPr>
            <a:bodyPr vertOverflow="ellipsis" anchor="ctr" horzOverflow="overflow" anchorCtr="1"/>
            <a:p>
              <a:pPr>
                <a:defRPr sz="1200" b="0" i="0">
                  <a:solidFill>
                    <a:srgbClr val="000000"/>
                  </a:solidFill>
                </a:defRPr>
              </a:pPr>
              <a:endParaRPr sz="1200" b="0" i="0">
                <a:solidFill>
                  <a:srgbClr val="000000"/>
                </a:solidFill>
              </a:endParaRPr>
            </a:p>
          </c:txPr>
          <c:showLegendKey val="0"/>
          <c:showVal val="0"/>
          <c:showCatName val="0"/>
          <c:showSerName val="0"/>
          <c:showPercent val="0"/>
          <c:showBubbleSize val="0"/>
        </c:dLbls>
        <c:overlap val="-25"/>
        <c:axId val="1"/>
        <c:axId val="2"/>
      </c:bar3DChart>
      <c:catAx>
        <c:axId val="1"/>
        <c:scaling>
          <c:orientation val="minMax"/>
        </c:scaling>
        <c:delete val="0"/>
        <c:axPos val="b"/>
        <c:majorTickMark val="none"/>
        <c:minorTickMark val="none"/>
        <c:txPr>
          <a:bodyPr rot="0"/>
          <a:p>
            <a:pPr>
              <a:defRPr sz="900" b="0" i="0">
                <a:solidFill>
                  <a:srgbClr val="595959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F2F2F2">
                  <a:alpha val="10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595959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595959"/>
              </a:solidFill>
            </a:defRPr>
          </a:pPr>
        </a:p>
      </c:txPr>
    </c:legend>
    <c:plotVisOnly val="1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charts/chart7.xml><?xml version="1.0" encoding="utf-8"?>
<c:chartSpace xmlns:c="http://schemas.openxmlformats.org/drawingml/2006/chart" xmlns:a="http://schemas.openxmlformats.org/drawingml/2006/main">
  <c:lang val="en-GB"/>
  <c:roundedCorners val="0"/>
  <c:chart>
    <c:title>
      <c:tx>
        <c:rich>
          <a:bodyPr vertOverflow="ellipsis" anchor="ctr"/>
          <a:p>
            <a:pPr>
              <a:defRPr>
                <a:latin typeface="Calibri"/>
                <a:cs typeface="Calibri"/>
              </a:defRPr>
            </a:pPr>
            <a:r>
              <a:rPr sz="1800" b="1" i="0">
                <a:solidFill>
                  <a:srgbClr val="808080"/>
                </a:solidFill>
              </a:rPr>
              <a:t>Chart Title</a:t>
            </a:r>
          </a:p>
        </c:rich>
      </c:tx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Summary!$H$25</c:f>
            </c:strRef>
          </c:tx>
          <c:spPr>
            <a:solidFill>
              <a:srgbClr val="1D1D1D">
                <a:alpha val="100000"/>
              </a:srgbClr>
            </a:solidFill>
            <a:ln w="28575">
              <a:solidFill>
                <a:srgbClr val="1D1D1D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D1D1D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('Summary'!$G$26:$G$29)</c:f>
            </c:strRef>
          </c:cat>
          <c:val>
            <c:numRef>
              <c:f>('Summary'!$H$26:$H$29)</c:f>
              <c:numCache/>
            </c:numRef>
          </c:val>
          <c:smooth val="0"/>
        </c:ser>
        <c:dLbls>
          <c:txPr>
            <a:bodyPr vertOverflow="ellipsis" anchor="ctr" horzOverflow="overflow" anchorCtr="1"/>
            <a:p>
              <a:pPr>
                <a:defRPr sz="900" b="0" i="0">
                  <a:solidFill>
                    <a:srgbClr val="404040"/>
                  </a:solidFill>
                </a:defRPr>
              </a:pPr>
              <a:endParaRPr sz="900" b="0" i="0">
                <a:solidFill>
                  <a:srgbClr val="404040"/>
                </a:solidFill>
              </a:endParaRPr>
            </a:p>
          </c:txPr>
          <c:dLblPos val="ctr"/>
          <c:showLegendKey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delete val="0"/>
        <c:axPos val="b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 rot="0"/>
          <a:p>
            <a:pPr>
              <a:defRPr sz="900" b="0" i="0">
                <a:solidFill>
                  <a:srgbClr val="595959"/>
                </a:solidFill>
              </a:defRPr>
            </a:pPr>
          </a:p>
        </c:txPr>
        <c:crossAx val="2"/>
      </c:catAx>
      <c:valAx>
        <c:axId val="2"/>
        <c:scaling>
          <c:orientation val="minMax"/>
        </c:scaling>
        <c:delete val="0"/>
        <c:axPos val="l"/>
        <c:majorGridlines>
          <c:spPr>
            <a:ln>
              <a:solidFill>
                <a:srgbClr val="9D9D9D">
                  <a:alpha val="30000"/>
                </a:srgbClr>
              </a:solidFill>
              <a:prstDash val="solid"/>
            </a:ln>
          </c:spPr>
        </c:majorGridlines>
        <c:majorTickMark val="none"/>
        <c:minorTickMark val="none"/>
        <c:txPr>
          <a:bodyPr/>
          <a:p>
            <a:pPr>
              <a:defRPr sz="900" b="0" i="0">
                <a:solidFill>
                  <a:srgbClr val="595959"/>
                </a:solidFill>
              </a:defRPr>
            </a:pPr>
          </a:p>
        </c:txPr>
        <c:crossAx val="1"/>
      </c:valAx>
      <c:spPr>
        <a:noFill/>
        <a:ln>
          <a:noFill/>
        </a:ln>
      </c:spPr>
    </c:plotArea>
    <c:legend>
      <c:legendPos val="r"/>
      <c:overlay val="0"/>
      <c:txPr>
        <a:bodyPr/>
        <a:p>
          <a:pPr>
            <a:defRPr sz="900" b="0" i="0">
              <a:solidFill>
                <a:srgbClr val="595959"/>
              </a:solidFill>
            </a:defRPr>
          </a:pPr>
        </a:p>
      </c:txPr>
    </c:legend>
    <c:plotVisOnly val="1"/>
  </c:chart>
  <c:spPr>
    <a:solidFill>
      <a:srgbClr val="FFFFFF">
        <a:alpha val="100000"/>
      </a:srgbClr>
    </a:solidFill>
    <a:ln>
      <a:solidFill>
        <a:srgbClr val="D9D9D9"/>
      </a:solidFill>
    </a:ln>
  </c:spPr>
  <c:txPr>
    <a:bodyPr/>
    <a:p>
      <a:pPr>
        <a:defRPr>
          <a:latin typeface="Calibri"/>
          <a:cs typeface="Calibri"/>
        </a:defRPr>
      </a:pPr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0</xdr:col>
      <xdr:colOff>0</xdr:colOff>
      <xdr:row>7</xdr:row>
      <xdr:rowOff>28575</xdr:rowOff>
    </xdr:from>
    <xdr:to>
      <xdr:col>5</xdr:col>
      <xdr:colOff>190500</xdr:colOff>
      <xdr:row>22</xdr:row>
      <xdr:rowOff>38100</xdr:rowOff>
    </xdr:to>
    <xdr:graphicFrame>
      <xdr:nvGraphicFramePr>
        <xdr:cNvPr id="2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85725</xdr:colOff>
      <xdr:row>7</xdr:row>
      <xdr:rowOff>57150</xdr:rowOff>
    </xdr:from>
    <xdr:to>
      <xdr:col>11</xdr:col>
      <xdr:colOff>276225</xdr:colOff>
      <xdr:row>22</xdr:row>
      <xdr:rowOff>66675</xdr:rowOff>
    </xdr:to>
    <xdr:graphicFrame>
      <xdr:nvGraphicFramePr>
        <xdr:cNvPr id="3" name="Chart 3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114300</xdr:rowOff>
    </xdr:from>
    <xdr:to>
      <xdr:col>4</xdr:col>
      <xdr:colOff>581025</xdr:colOff>
      <xdr:row>43</xdr:row>
      <xdr:rowOff>123824</xdr:rowOff>
    </xdr:to>
    <xdr:graphicFrame>
      <xdr:nvGraphicFramePr>
        <xdr:cNvPr id="4" name="Chart 4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57150</xdr:colOff>
      <xdr:row>29</xdr:row>
      <xdr:rowOff>171450</xdr:rowOff>
    </xdr:from>
    <xdr:to>
      <xdr:col>10</xdr:col>
      <xdr:colOff>47625</xdr:colOff>
      <xdr:row>44</xdr:row>
      <xdr:rowOff>180975</xdr:rowOff>
    </xdr:to>
    <xdr:graphicFrame>
      <xdr:nvGraphicFramePr>
        <xdr:cNvPr id="5" name="Chart 5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 editAs="oneCell">
    <xdr:from>
      <xdr:col>1</xdr:col>
      <xdr:colOff>428625</xdr:colOff>
      <xdr:row>9</xdr:row>
      <xdr:rowOff>85725</xdr:rowOff>
    </xdr:from>
    <xdr:to>
      <xdr:col>15</xdr:col>
      <xdr:colOff>504825</xdr:colOff>
      <xdr:row>24</xdr:row>
      <xdr:rowOff>95250</xdr:rowOff>
    </xdr:to>
    <xdr:graphicFrame>
      <xdr:nvGraphicFramePr>
        <xdr:cNvPr id="6" name="Chart 2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38100</xdr:colOff>
      <xdr:row>9</xdr:row>
      <xdr:rowOff>28575</xdr:rowOff>
    </xdr:from>
    <xdr:to>
      <xdr:col>31</xdr:col>
      <xdr:colOff>209550</xdr:colOff>
      <xdr:row>24</xdr:row>
      <xdr:rowOff>38100</xdr:rowOff>
    </xdr:to>
    <xdr:graphicFrame>
      <xdr:nvGraphicFramePr>
        <xdr:cNvPr id="7" name="Chart 3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361950</xdr:colOff>
      <xdr:row>25</xdr:row>
      <xdr:rowOff>114300</xdr:rowOff>
    </xdr:from>
    <xdr:to>
      <xdr:col>16</xdr:col>
      <xdr:colOff>371475</xdr:colOff>
      <xdr:row>43</xdr:row>
      <xdr:rowOff>85725</xdr:rowOff>
    </xdr:to>
    <xdr:graphicFrame>
      <xdr:nvGraphicFramePr>
        <xdr:cNvPr id="8" name="Chart 4"/>
        <xdr:cNvGraphicFramePr/>
      </xdr:nvGraphicFramePr>
      <xdr:xfrm/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ustom">
  <a:themeElements>
    <a:clrScheme name="Custom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Custom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ustomXml" Target="../../customXml/CustomRelationsSummary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customXml" Target="../../customXml/CustomRelationsDashboard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4.399999999999999"/>
  <cols>
    <col min="1" max="1" width="14.75" style="0" hidden="0" bestFit="0" customWidth="0" phonetic="0" collapsed="0" outlineLevel="0"/>
    <col min="2" max="2" width="30.25" style="0" hidden="0" bestFit="0" customWidth="0" phonetic="0" collapsed="0" outlineLevel="0"/>
    <col min="3" max="3" width="21.75" style="0" hidden="0" bestFit="0" customWidth="0" phonetic="0" collapsed="0" outlineLevel="0"/>
    <col min="7" max="7" width="14.75" style="0" hidden="0" bestFit="0" customWidth="0" phonetic="0" collapsed="0" outlineLevel="0"/>
    <col min="8" max="8" width="26.5" style="0" hidden="0" bestFit="0" customWidth="0" phonetic="0" collapsed="0" outlineLevel="0"/>
    <col min="9" max="9" width="21.75" style="0" hidden="0" bestFit="0" customWidth="0" phonetic="0" collapsed="0" outlineLevel="0"/>
  </cols>
  <sheetData>
    <row r="3" ht="14.25">
      <c r="A3" t="s" s="0">
        <v>12</v>
      </c>
      <c r="B3" t="s" s="0">
        <v>37</v>
      </c>
      <c r="C3" t="s" s="0">
        <v>9</v>
      </c>
      <c r="G3" t="s" s="0">
        <v>12</v>
      </c>
      <c r="H3" t="s" s="0">
        <v>37</v>
      </c>
      <c r="I3" t="s" s="0">
        <v>9</v>
      </c>
    </row>
    <row r="4" ht="14.25">
      <c r="A4" t="s" s="1">
        <v>29</v>
      </c>
      <c r="B4" s="2">
        <v>6.60952380952381</v>
      </c>
      <c r="C4" s="2">
        <v>4.534920634920635</v>
      </c>
      <c r="G4" t="s" s="1">
        <v>36</v>
      </c>
      <c r="H4" s="2">
        <v>6.734444444444441</v>
      </c>
      <c r="I4" s="2">
        <v>4.344444444444444</v>
      </c>
    </row>
    <row r="5" ht="14.25">
      <c r="A5" t="s" s="1">
        <v>43</v>
      </c>
      <c r="B5" s="2">
        <v>6.485915492957746</v>
      </c>
      <c r="C5" s="2">
        <v>4.404225352112677</v>
      </c>
      <c r="G5" t="s" s="1">
        <v>44</v>
      </c>
      <c r="H5" s="2">
        <v>6.3590909090909085</v>
      </c>
      <c r="I5" s="2">
        <v>4.348181818181819</v>
      </c>
    </row>
    <row r="6" ht="14.25">
      <c r="A6" t="s" s="1">
        <v>32</v>
      </c>
      <c r="B6" s="2">
        <v>6.495454545454544</v>
      </c>
      <c r="C6" s="2">
        <v>4.1045454545454545</v>
      </c>
      <c r="G6" t="s" s="1">
        <v>10</v>
      </c>
    </row>
    <row r="7" ht="14.25">
      <c r="A7" t="s" s="1">
        <v>10</v>
      </c>
      <c r="B7" s="2"/>
      <c r="C7" s="2"/>
      <c r="G7" t="s" s="1">
        <v>18</v>
      </c>
      <c r="H7" s="2">
        <v>6.528</v>
      </c>
      <c r="I7" s="2">
        <v>4.346500000000001</v>
      </c>
    </row>
    <row r="8" ht="14.25">
      <c r="A8" t="s" s="1">
        <v>18</v>
      </c>
      <c r="B8" s="2">
        <v>6.528000000000002</v>
      </c>
      <c r="C8" s="2">
        <v>4.346499999999999</v>
      </c>
    </row>
    <row r="25" ht="14.25">
      <c r="A25" t="s" s="0">
        <v>12</v>
      </c>
      <c r="B25" t="s" s="0">
        <v>7</v>
      </c>
      <c r="G25" t="s" s="0">
        <v>12</v>
      </c>
      <c r="H25" t="s" s="0">
        <v>31</v>
      </c>
    </row>
    <row r="26" ht="14.25">
      <c r="A26" t="s" s="1">
        <v>36</v>
      </c>
      <c r="B26" s="2">
        <v>5.711111111111111</v>
      </c>
      <c r="G26" t="s" s="1">
        <v>30</v>
      </c>
      <c r="H26" s="2">
        <v>2.947903225806452</v>
      </c>
    </row>
    <row r="27" ht="14.25">
      <c r="A27" t="s" s="1">
        <v>44</v>
      </c>
      <c r="B27" s="2">
        <v>5.327272727272727</v>
      </c>
      <c r="G27" t="s" s="1">
        <v>39</v>
      </c>
      <c r="H27" s="2">
        <v>2.903793103448275</v>
      </c>
    </row>
    <row r="28" ht="14.25">
      <c r="A28" t="s" s="1">
        <v>10</v>
      </c>
      <c r="G28" t="s" s="1">
        <v>42</v>
      </c>
      <c r="H28" s="2">
        <v>3.093749999999999</v>
      </c>
    </row>
    <row r="29" ht="14.25">
      <c r="A29" t="s" s="1">
        <v>18</v>
      </c>
      <c r="B29" s="2">
        <v>5.5</v>
      </c>
      <c r="G29" t="s" s="1">
        <v>18</v>
      </c>
      <c r="H29" s="2">
        <v>2.99345</v>
      </c>
    </row>
  </sheetData>
  <printOptions/>
  <pageMargins left="0.7" right="0.7" top="0.75" bottom="0.75" header="0.3" footer="0.3"/>
  <pageSetup/>
  <rowBreaks/>
  <colBreaks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4.399999999999999"/>
  <cols>
    <col min="3" max="10" width="8.625" style="0" hidden="0" bestFit="0" customWidth="0" phonetic="0" collapsed="0" outlineLevel="0"/>
    <col min="14" max="18" width="8.625" style="0" hidden="0" bestFit="0" customWidth="0" phonetic="0" collapsed="0" outlineLevel="0"/>
  </cols>
  <sheetData>
    <row r="26" ht="14.25">
      <c r="C26" t="s" s="31">
        <v>21</v>
      </c>
      <c r="D26" s="31"/>
      <c r="E26" s="31"/>
      <c r="F26" s="31"/>
      <c r="G26" s="31"/>
      <c r="H26" s="31"/>
      <c r="I26" s="31"/>
      <c r="J26" s="31"/>
      <c r="N26" t="s" s="30">
        <v>0</v>
      </c>
      <c r="O26" s="30"/>
      <c r="P26" s="30"/>
      <c r="Q26" s="30"/>
      <c r="R26" s="30"/>
    </row>
    <row r="44" ht="14.25">
      <c r="C44" t="s" s="30">
        <v>33</v>
      </c>
      <c r="D44" s="30"/>
      <c r="E44" s="30"/>
      <c r="F44" s="30"/>
      <c r="G44" s="30"/>
      <c r="H44" s="30"/>
      <c r="I44" s="30"/>
    </row>
  </sheetData>
  <mergeCells count="3">
    <mergeCell ref="C44:I44"/>
    <mergeCell ref="C26:J26"/>
    <mergeCell ref="N26:R26"/>
  </mergeCells>
  <printOptions/>
  <pageMargins left="0.7" right="0.7" top="0.75" bottom="0.75" header="0.3" footer="0.3"/>
  <pageSetup/>
  <rowBreaks/>
  <colBreaks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/>
  <sheetViews>
    <sheetView topLeftCell="A1" zoomScale="120" workbookViewId="0">
      <selection activeCell="A1" sqref="A1"/>
    </sheetView>
  </sheetViews>
  <sheetFormatPr defaultColWidth="8.625" defaultRowHeight="14.399999999999999"/>
  <cols>
    <col min="1" max="1" width="9.5" style="0" hidden="0" bestFit="0" customWidth="0" phonetic="0" collapsed="0" outlineLevel="0"/>
    <col min="2" max="7" width="8.625" style="0" hidden="0" bestFit="0" customWidth="0" phonetic="0" collapsed="0" outlineLevel="0"/>
    <col min="8" max="8" width="10.375" style="0" hidden="0" bestFit="0" customWidth="0" phonetic="0" collapsed="0" outlineLevel="0"/>
    <col min="10" max="10" width="9.25" style="0" hidden="0" bestFit="0" customWidth="0" phonetic="0" collapsed="0" outlineLevel="0"/>
    <col min="11" max="11" width="9.375" style="0" hidden="0" bestFit="0" customWidth="0" phonetic="0" collapsed="0" outlineLevel="0"/>
    <col min="12" max="18" width="8.625" style="0" hidden="0" bestFit="0" customWidth="0" phonetic="0" collapsed="0" outlineLevel="0"/>
    <col min="19" max="19" width="10.375" style="0" hidden="0" bestFit="0" customWidth="0" phonetic="0" collapsed="0" outlineLevel="0"/>
    <col min="20" max="20" width="23.875" style="0" hidden="0" bestFit="0" customWidth="0" phonetic="0" collapsed="0" outlineLevel="0"/>
  </cols>
  <sheetData>
    <row r="4" ht="15" thickBot="1"/>
    <row r="5" ht="14.25">
      <c r="A5" t="s" s="27">
        <v>3</v>
      </c>
      <c r="B5" s="28"/>
      <c r="K5" t="s" s="6">
        <v>17</v>
      </c>
    </row>
    <row r="6" ht="14.25">
      <c r="A6" t="s" s="26">
        <v>41</v>
      </c>
      <c r="B6" s="22"/>
      <c r="C6" s="22"/>
      <c r="D6" s="22"/>
      <c r="E6" s="22"/>
      <c r="F6" s="22"/>
      <c r="G6" s="22"/>
      <c r="H6" t="s" s="8">
        <v>5</v>
      </c>
      <c r="I6" t="s" s="9">
        <v>34</v>
      </c>
      <c r="K6" t="s" s="26">
        <v>6</v>
      </c>
      <c r="L6" s="22"/>
      <c r="M6" s="22"/>
      <c r="N6" s="22"/>
      <c r="O6" s="22"/>
      <c r="P6" s="22"/>
      <c r="Q6" s="22"/>
      <c r="R6" s="22"/>
      <c r="S6" t="s" s="8">
        <v>5</v>
      </c>
      <c r="T6" t="s" s="9">
        <v>4</v>
      </c>
    </row>
    <row r="7" ht="14.25">
      <c r="A7" s="10"/>
      <c r="B7" s="11"/>
      <c r="C7" s="11"/>
      <c r="D7" s="11"/>
      <c r="E7" s="11"/>
      <c r="F7" s="11"/>
      <c r="G7" s="11"/>
      <c r="H7" s="11">
        <v>16</v>
      </c>
      <c r="I7" s="12">
        <f ca="0">INDEX(Harsh_ExcelDashboard!J:J,MATCH(Formulas!H7,Harsh_ExcelDashboard!A:A))</f>
        <v>4</v>
      </c>
      <c r="K7" s="10"/>
      <c r="L7" s="11"/>
      <c r="M7" s="11"/>
      <c r="N7" s="11"/>
      <c r="O7" s="11"/>
      <c r="P7" s="11"/>
      <c r="Q7" s="11"/>
      <c r="R7" s="11"/>
      <c r="S7" s="11">
        <v>16</v>
      </c>
      <c r="T7" s="12">
        <f ca="0">_xlfn.XLOOKUP(S7,Harsh_ExcelDashboard!A:A,Harsh_ExcelDashboard!G:G)</f>
        <v>2.4</v>
      </c>
    </row>
    <row r="8" ht="15" thickBot="1"/>
    <row r="9" ht="14.25">
      <c r="A9" t="s" s="27">
        <v>24</v>
      </c>
      <c r="B9" s="28"/>
    </row>
    <row r="10" ht="15" thickBot="1">
      <c r="A10" t="s" s="21">
        <v>8</v>
      </c>
      <c r="B10" s="29"/>
      <c r="C10" s="29"/>
      <c r="D10" s="22"/>
      <c r="E10" s="22"/>
      <c r="F10" s="29"/>
      <c r="G10" s="29"/>
      <c r="H10" s="29"/>
    </row>
    <row r="11" ht="14.25">
      <c r="D11" t="s" s="13">
        <v>22</v>
      </c>
      <c r="E11" t="s" s="14">
        <v>16</v>
      </c>
    </row>
    <row r="12" ht="14.25">
      <c r="D12" s="15">
        <v>2</v>
      </c>
      <c r="E12" t="str" s="16">
        <f ca="0">IF(D12&gt;=5,"HIGH RISK","LOW RISK")</f>
        <v>LOW RISK</v>
      </c>
    </row>
    <row r="13" ht="14.25">
      <c r="D13" s="15">
        <v>8</v>
      </c>
      <c r="E13" t="str" s="16">
        <f ca="0">IF(D13&gt;=5,"HIGH RISK","LOW RISK")</f>
        <v>HIGH RISK</v>
      </c>
    </row>
    <row r="14" ht="14.25">
      <c r="D14" s="15">
        <v>2</v>
      </c>
      <c r="E14" t="str" s="16">
        <f ca="0">IF(D14&gt;=5,"HIGH RISK","LOW RISK")</f>
        <v>LOW RISK</v>
      </c>
    </row>
    <row r="15" ht="14.25">
      <c r="D15" s="15">
        <v>1</v>
      </c>
      <c r="E15" t="str" s="16">
        <f ca="0">IF(D15&gt;=5,"HIGH RISK","LOW RISK")</f>
        <v>LOW RISK</v>
      </c>
    </row>
    <row r="16" ht="14.25">
      <c r="D16" s="15">
        <v>3</v>
      </c>
      <c r="E16" t="str" s="16">
        <f ca="0">IF(D16&gt;=5,"HIGH RISK","LOW RISK")</f>
        <v>LOW RISK</v>
      </c>
    </row>
    <row r="17" ht="14.25">
      <c r="D17" s="15">
        <v>3</v>
      </c>
      <c r="E17" t="str" s="16">
        <f ca="0">IF(D17&gt;=5,"HIGH RISK","LOW RISK")</f>
        <v>LOW RISK</v>
      </c>
    </row>
    <row r="18" ht="14.25">
      <c r="D18" s="15">
        <v>2</v>
      </c>
      <c r="E18" t="str" s="16">
        <f ca="0">IF(D18&gt;=5,"HIGH RISK","LOW RISK")</f>
        <v>LOW RISK</v>
      </c>
    </row>
    <row r="19" ht="14.25">
      <c r="D19" s="15">
        <v>6</v>
      </c>
      <c r="E19" t="str" s="16">
        <f ca="0">IF(D19&gt;=5,"HIGH RISK","LOW RISK")</f>
        <v>HIGH RISK</v>
      </c>
    </row>
    <row r="20" ht="14.25">
      <c r="D20" s="15">
        <v>1</v>
      </c>
      <c r="E20" t="str" s="16">
        <f ca="0">IF(D20&gt;=5,"HIGH RISK","LOW RISK")</f>
        <v>LOW RISK</v>
      </c>
    </row>
    <row r="21" ht="14.25">
      <c r="D21" s="15">
        <v>1</v>
      </c>
      <c r="E21" t="str" s="16">
        <f ca="0">IF(D21&gt;=5,"HIGH RISK","LOW RISK")</f>
        <v>LOW RISK</v>
      </c>
    </row>
    <row r="22" ht="14.25">
      <c r="D22" s="15">
        <v>5</v>
      </c>
      <c r="E22" t="str" s="16">
        <f ca="0">IF(D22&gt;=5,"HIGH RISK","LOW RISK")</f>
        <v>HIGH RISK</v>
      </c>
    </row>
    <row r="23" ht="14.25">
      <c r="D23" s="15">
        <v>1</v>
      </c>
      <c r="E23" t="str" s="16">
        <f ca="0">IF(D23&gt;=5,"HIGH RISK","LOW RISK")</f>
        <v>LOW RISK</v>
      </c>
    </row>
    <row r="24" ht="15" thickBot="1">
      <c r="D24" s="17">
        <v>5</v>
      </c>
      <c r="E24" t="str" s="18">
        <f ca="0">IF(D24&gt;=5,"HIGH RISK","LOW RISK")</f>
        <v>HIGH RISK</v>
      </c>
    </row>
    <row r="25" ht="14.25">
      <c r="A25" t="s" s="7">
        <v>1</v>
      </c>
    </row>
    <row r="26" ht="15" thickBot="1">
      <c r="A26" t="s" s="21">
        <v>28</v>
      </c>
      <c r="B26" s="22"/>
      <c r="C26" s="22"/>
      <c r="D26" s="22"/>
      <c r="E26" s="22"/>
      <c r="F26" s="23"/>
    </row>
    <row r="27" ht="14.25">
      <c r="B27" t="s" s="24">
        <v>2</v>
      </c>
      <c r="C27" s="25"/>
      <c r="D27" s="25"/>
      <c r="E27" t="s" s="14">
        <v>40</v>
      </c>
    </row>
    <row r="28" ht="14.25">
      <c r="B28" s="15"/>
      <c r="C28" s="19">
        <v>3.5</v>
      </c>
      <c r="D28" s="19"/>
      <c r="E28" t="str" s="16">
        <f ca="0">IF(C28&gt;3.5,"Excellent",IF(C28&gt;=2.5,"Average","Poor"))</f>
        <v>Average</v>
      </c>
    </row>
    <row r="29" ht="14.25">
      <c r="B29" s="15"/>
      <c r="C29" s="19">
        <v>2</v>
      </c>
      <c r="D29" s="19"/>
      <c r="E29" t="str" s="16">
        <f ca="0">IF(C29&gt;3.5,"Excellent",IF(C29&gt;=2.5,"Average","Poor"))</f>
        <v>Poor</v>
      </c>
    </row>
    <row r="30" ht="14.25">
      <c r="B30" s="15"/>
      <c r="C30" s="19">
        <v>1</v>
      </c>
      <c r="D30" s="19"/>
      <c r="E30" t="str" s="16">
        <f ca="0">IF(C30&gt;3.5,"Excellent",IF(C30&gt;=2.5,"Average","Poor"))</f>
        <v>Poor</v>
      </c>
    </row>
    <row r="31" ht="14.25">
      <c r="B31" s="15"/>
      <c r="C31" s="19">
        <v>4</v>
      </c>
      <c r="D31" s="19"/>
      <c r="E31" t="str" s="16">
        <f ca="0">IF(C31&gt;3.5,"Excellent",IF(C31&gt;=2.5,"Average","Poor"))</f>
        <v>Excellent</v>
      </c>
    </row>
    <row r="32" ht="14.25">
      <c r="B32" s="15"/>
      <c r="C32" s="19">
        <v>2</v>
      </c>
      <c r="D32" s="19"/>
      <c r="E32" t="str" s="16">
        <f ca="0">IF(C32&gt;3.5,"Excellent",IF(C32&gt;=2.5,"Average","Poor"))</f>
        <v>Poor</v>
      </c>
    </row>
    <row r="33" ht="15" thickBot="1">
      <c r="B33" s="17"/>
      <c r="C33" s="20">
        <v>6</v>
      </c>
      <c r="D33" s="20"/>
      <c r="E33" t="str" s="18">
        <f ca="0">IF(C33&gt;3.5,"Excellent",IF(C33&gt;=2.5,"Average","Poor"))</f>
        <v>Excellent</v>
      </c>
    </row>
  </sheetData>
  <mergeCells count="7">
    <mergeCell ref="A26:F26"/>
    <mergeCell ref="B27:D27"/>
    <mergeCell ref="K6:R6"/>
    <mergeCell ref="A5:B5"/>
    <mergeCell ref="A6:G6"/>
    <mergeCell ref="A10:H10"/>
    <mergeCell ref="A9:B9"/>
  </mergeCells>
  <printOptions/>
  <pageMargins left="0.7" right="0.7" top="0.75" bottom="0.75" header="0.3" footer="0.3"/>
  <pageSetup/>
  <rowBreaks/>
  <colBreaks/>
</worksheet>
</file>

<file path=xl/worksheets/sheet4.xml><?xml version="1.0" encoding="utf-8"?>
<worksheet xmlns="http://schemas.openxmlformats.org/spreadsheetml/2006/main" xmlns:r="http://schemas.openxmlformats.org/officeDocument/2006/relationships">
  <sheetPr/>
  <sheetViews>
    <sheetView topLeftCell="J1" workbookViewId="0">
      <selection activeCell="M11" sqref="M11:M11"/>
    </sheetView>
  </sheetViews>
  <sheetFormatPr defaultColWidth="8.625" defaultRowHeight="14.399999999999999"/>
  <cols>
    <col min="1" max="1" width="4" style="0" hidden="0" bestFit="0" customWidth="0" phonetic="0" collapsed="0" outlineLevel="0"/>
    <col min="2" max="2" width="6.875" style="0" hidden="0" bestFit="0" customWidth="0" phonetic="0" collapsed="0" outlineLevel="0"/>
    <col min="3" max="3" width="23" style="0" hidden="0" bestFit="0" customWidth="0" phonetic="0" collapsed="0" outlineLevel="0"/>
    <col min="4" max="4" width="14.25" style="0" hidden="0" bestFit="0" customWidth="0" phonetic="0" collapsed="0" outlineLevel="0"/>
    <col min="5" max="5" width="11.125" style="0" hidden="0" bestFit="0" customWidth="0" phonetic="0" collapsed="0" outlineLevel="0"/>
    <col min="6" max="6" width="23.625" style="0" hidden="0" bestFit="0" customWidth="0" phonetic="0" collapsed="0" outlineLevel="0"/>
    <col min="7" max="7" width="20.625" style="0" hidden="0" bestFit="0" customWidth="0" phonetic="0" collapsed="0" outlineLevel="0"/>
    <col min="8" max="8" width="14.5" style="0" hidden="0" bestFit="0" customWidth="0" phonetic="0" collapsed="0" outlineLevel="0"/>
    <col min="9" max="9" width="21.375" style="0" hidden="0" bestFit="0" customWidth="0" phonetic="0" collapsed="0" outlineLevel="0"/>
    <col min="10" max="10" width="11" style="0" hidden="0" bestFit="0" customWidth="0" phonetic="0" collapsed="0" outlineLevel="0"/>
    <col min="11" max="11" width="12.25" style="0" hidden="0" bestFit="0" customWidth="0" phonetic="0" collapsed="0" outlineLevel="0"/>
    <col min="12" max="12" width="14" style="0" hidden="0" bestFit="0" customWidth="0" phonetic="0" collapsed="0" outlineLevel="0"/>
    <col min="13" max="13" width="15.5" style="0" hidden="0" bestFit="0" customWidth="0" phonetic="0" collapsed="0" outlineLevel="0"/>
    <col min="14" max="14" width="8.625" style="0" hidden="0" bestFit="0" customWidth="0" phonetic="0" collapsed="0" outlineLevel="0"/>
    <col min="28" max="28" width="8.625" style="0" hidden="0" bestFit="0" customWidth="0" phonetic="0" collapsed="0" outlineLevel="0"/>
  </cols>
  <sheetData>
    <row r="1" ht="14.25">
      <c r="A1" t="s" s="3">
        <v>27</v>
      </c>
      <c r="B1" t="s" s="4">
        <v>26</v>
      </c>
      <c r="C1" t="s" s="4">
        <v>23</v>
      </c>
      <c r="D1" t="s" s="4">
        <v>35</v>
      </c>
      <c r="E1" t="s" s="4">
        <v>20</v>
      </c>
      <c r="F1" t="s" s="4">
        <v>38</v>
      </c>
      <c r="G1" t="s" s="4">
        <v>19</v>
      </c>
      <c r="H1" t="s" s="4">
        <v>15</v>
      </c>
      <c r="I1" t="s" s="4">
        <v>25</v>
      </c>
      <c r="J1" t="s" s="4">
        <v>14</v>
      </c>
      <c r="K1" t="s" s="4">
        <v>13</v>
      </c>
      <c r="L1" t="s" s="5">
        <v>11</v>
      </c>
      <c r="N1" s="0"/>
      <c r="AB1" t="str" s="0">
        <f ca="0">PROPER(N1)</f>
      </c>
    </row>
    <row r="2" ht="14.25">
      <c r="A2" s="0">
        <v>14</v>
      </c>
      <c r="B2" t="s" s="0">
        <v>44</v>
      </c>
      <c r="C2" s="0">
        <v>7.9</v>
      </c>
      <c r="D2" t="s" s="0">
        <v>43</v>
      </c>
      <c r="E2" s="0">
        <v>7.4</v>
      </c>
      <c r="F2" s="0">
        <v>2.9</v>
      </c>
      <c r="G2" s="0">
        <v>3.01</v>
      </c>
      <c r="H2" s="0">
        <v>1.5</v>
      </c>
      <c r="I2" t="s" s="0">
        <v>39</v>
      </c>
      <c r="J2" s="0">
        <v>2</v>
      </c>
      <c r="K2" s="0">
        <v>2</v>
      </c>
      <c r="L2" s="0">
        <v>1</v>
      </c>
    </row>
    <row r="3" ht="14.25">
      <c r="A3" s="0">
        <v>19</v>
      </c>
      <c r="B3" t="s" s="0">
        <v>36</v>
      </c>
      <c r="C3" s="0">
        <v>1.9</v>
      </c>
      <c r="D3" t="s" s="0">
        <v>32</v>
      </c>
      <c r="E3" s="0">
        <v>8</v>
      </c>
      <c r="F3" s="0">
        <v>2.9</v>
      </c>
      <c r="G3" s="0">
        <v>3.22</v>
      </c>
      <c r="H3" s="0">
        <v>0.8</v>
      </c>
      <c r="I3" t="s" s="0">
        <v>30</v>
      </c>
      <c r="J3" s="0">
        <v>8</v>
      </c>
      <c r="K3" s="0">
        <v>1</v>
      </c>
      <c r="L3" s="0">
        <v>10</v>
      </c>
    </row>
    <row r="4" ht="14.25">
      <c r="A4" s="0">
        <v>17</v>
      </c>
      <c r="B4" t="s" s="0">
        <v>36</v>
      </c>
      <c r="C4" s="0">
        <v>1.3</v>
      </c>
      <c r="D4" t="s" s="0">
        <v>43</v>
      </c>
      <c r="E4" s="0">
        <v>7.6</v>
      </c>
      <c r="F4" s="0">
        <v>0.5</v>
      </c>
      <c r="G4" s="0">
        <v>3.92</v>
      </c>
      <c r="H4" s="0">
        <v>0</v>
      </c>
      <c r="I4" t="s" s="0">
        <v>30</v>
      </c>
      <c r="J4" s="0">
        <v>2</v>
      </c>
      <c r="K4" s="0">
        <v>4</v>
      </c>
      <c r="L4" s="0">
        <v>2</v>
      </c>
    </row>
    <row r="5" ht="14.25">
      <c r="A5" s="0">
        <v>15</v>
      </c>
      <c r="B5" t="s" s="0">
        <v>44</v>
      </c>
      <c r="C5" s="0">
        <v>7.4</v>
      </c>
      <c r="D5" t="s" s="0">
        <v>32</v>
      </c>
      <c r="E5" s="0">
        <v>6.9</v>
      </c>
      <c r="F5" s="0">
        <v>1.6</v>
      </c>
      <c r="G5" s="0">
        <v>3.48</v>
      </c>
      <c r="H5" s="0">
        <v>0.8</v>
      </c>
      <c r="I5" t="s" s="0">
        <v>42</v>
      </c>
      <c r="J5" s="0">
        <v>1</v>
      </c>
      <c r="K5" s="0">
        <v>7</v>
      </c>
      <c r="L5" s="0">
        <v>9</v>
      </c>
    </row>
    <row r="6" ht="14.25">
      <c r="A6" s="0">
        <v>15</v>
      </c>
      <c r="B6" t="s" s="0">
        <v>36</v>
      </c>
      <c r="C6" s="0">
        <v>4.7</v>
      </c>
      <c r="D6" t="s" s="0">
        <v>29</v>
      </c>
      <c r="E6" s="0">
        <v>4.9</v>
      </c>
      <c r="F6" s="0">
        <v>3</v>
      </c>
      <c r="G6" s="0">
        <v>2.37</v>
      </c>
      <c r="H6" s="0">
        <v>1.4</v>
      </c>
      <c r="I6" t="s" s="0">
        <v>42</v>
      </c>
      <c r="J6" s="0">
        <v>3</v>
      </c>
      <c r="K6" s="0">
        <v>5</v>
      </c>
      <c r="L6" s="0">
        <v>2</v>
      </c>
    </row>
    <row r="7" ht="14.25">
      <c r="A7" s="0">
        <v>19</v>
      </c>
      <c r="B7" t="s" s="0">
        <v>36</v>
      </c>
      <c r="C7" s="0">
        <v>7.4</v>
      </c>
      <c r="D7" t="s" s="0">
        <v>29</v>
      </c>
      <c r="E7" s="0">
        <v>4.4</v>
      </c>
      <c r="F7" s="0">
        <v>2.4</v>
      </c>
      <c r="G7" s="0">
        <v>2.63</v>
      </c>
      <c r="H7" s="0">
        <v>0.6</v>
      </c>
      <c r="I7" t="s" s="0">
        <v>30</v>
      </c>
      <c r="J7" s="0">
        <v>3</v>
      </c>
      <c r="K7" s="0">
        <v>5</v>
      </c>
      <c r="L7" s="0">
        <v>7</v>
      </c>
    </row>
    <row r="8" ht="14.25">
      <c r="A8" s="0">
        <v>18</v>
      </c>
      <c r="B8" t="s" s="0">
        <v>36</v>
      </c>
      <c r="C8" s="0">
        <v>2.5</v>
      </c>
      <c r="D8" t="s" s="0">
        <v>43</v>
      </c>
      <c r="E8" s="0">
        <v>6.4</v>
      </c>
      <c r="F8" s="0">
        <v>2.4</v>
      </c>
      <c r="G8" s="0">
        <v>2.63</v>
      </c>
      <c r="H8" s="0">
        <v>0.7</v>
      </c>
      <c r="I8" t="s" s="0">
        <v>39</v>
      </c>
      <c r="J8" s="0">
        <v>2</v>
      </c>
      <c r="K8" s="0">
        <v>2</v>
      </c>
      <c r="L8" s="0">
        <v>5</v>
      </c>
    </row>
    <row r="9" ht="14.25">
      <c r="A9" s="0">
        <v>16</v>
      </c>
      <c r="B9" t="s" s="0">
        <v>44</v>
      </c>
      <c r="C9" s="0">
        <v>4</v>
      </c>
      <c r="D9" t="s" s="0">
        <v>29</v>
      </c>
      <c r="E9" s="0">
        <v>4.2</v>
      </c>
      <c r="F9" s="0">
        <v>0.5</v>
      </c>
      <c r="G9" s="0">
        <v>2.4</v>
      </c>
      <c r="H9" s="0">
        <v>1.3</v>
      </c>
      <c r="I9" t="s" s="0">
        <v>39</v>
      </c>
      <c r="J9" s="0">
        <v>6</v>
      </c>
      <c r="K9" s="0">
        <v>10</v>
      </c>
      <c r="L9" s="0">
        <v>5</v>
      </c>
    </row>
    <row r="10" ht="14.25">
      <c r="A10" s="0">
        <v>19</v>
      </c>
      <c r="B10" t="s" s="0">
        <v>36</v>
      </c>
      <c r="C10" s="0">
        <v>3.3</v>
      </c>
      <c r="D10" t="s" s="0">
        <v>32</v>
      </c>
      <c r="E10" s="0">
        <v>5</v>
      </c>
      <c r="F10" s="0">
        <v>2.1</v>
      </c>
      <c r="G10" s="0">
        <v>2.04</v>
      </c>
      <c r="H10" s="0">
        <v>0.9</v>
      </c>
      <c r="I10" t="s" s="0">
        <v>30</v>
      </c>
      <c r="J10" s="0">
        <v>1</v>
      </c>
      <c r="K10" s="0">
        <v>10</v>
      </c>
      <c r="L10" s="0">
        <v>9</v>
      </c>
    </row>
    <row r="11" ht="14.25">
      <c r="A11" s="0">
        <v>15</v>
      </c>
      <c r="B11" t="s" s="0">
        <v>44</v>
      </c>
      <c r="C11" s="0">
        <v>1.9</v>
      </c>
      <c r="D11" t="s" s="0">
        <v>32</v>
      </c>
      <c r="E11" s="0">
        <v>4.9</v>
      </c>
      <c r="F11" s="0">
        <v>1.5</v>
      </c>
      <c r="G11" s="0">
        <v>3.77</v>
      </c>
      <c r="H11" s="0">
        <v>1.1</v>
      </c>
      <c r="I11" t="s" s="0">
        <v>30</v>
      </c>
      <c r="J11" s="0">
        <v>1</v>
      </c>
      <c r="K11" s="0">
        <v>1</v>
      </c>
      <c r="L11" s="0">
        <v>4</v>
      </c>
    </row>
    <row r="12" ht="14.25">
      <c r="A12" s="0">
        <v>16</v>
      </c>
      <c r="B12" t="s" s="0">
        <v>44</v>
      </c>
      <c r="C12" s="0">
        <v>7.2</v>
      </c>
      <c r="D12" t="s" s="0">
        <v>29</v>
      </c>
      <c r="E12" s="0">
        <v>5.8</v>
      </c>
      <c r="F12" s="0">
        <v>2.9</v>
      </c>
      <c r="G12" s="0">
        <v>3.16</v>
      </c>
      <c r="H12" s="0">
        <v>1.2</v>
      </c>
      <c r="I12" t="s" s="0">
        <v>42</v>
      </c>
      <c r="J12" s="0">
        <v>5</v>
      </c>
      <c r="K12" s="0">
        <v>8</v>
      </c>
      <c r="L12" s="0">
        <v>9</v>
      </c>
    </row>
    <row r="13" ht="14.25">
      <c r="A13" s="0">
        <v>13</v>
      </c>
      <c r="B13" t="s" s="0">
        <v>44</v>
      </c>
      <c r="C13" s="0">
        <v>4.9</v>
      </c>
      <c r="D13" t="s" s="0">
        <v>43</v>
      </c>
      <c r="E13" s="0">
        <v>4.7</v>
      </c>
      <c r="F13" s="0">
        <v>2.5</v>
      </c>
      <c r="G13" s="0">
        <v>3.92</v>
      </c>
      <c r="H13" s="0">
        <v>1.2</v>
      </c>
      <c r="I13" t="s" s="0">
        <v>39</v>
      </c>
      <c r="J13" s="0">
        <v>1</v>
      </c>
      <c r="K13" s="0">
        <v>10</v>
      </c>
      <c r="L13" s="0">
        <v>8</v>
      </c>
    </row>
    <row r="14" ht="14.25">
      <c r="A14" s="0">
        <v>16</v>
      </c>
      <c r="B14" t="s" s="0">
        <v>44</v>
      </c>
      <c r="C14" s="0">
        <v>6.2</v>
      </c>
      <c r="D14" t="s" s="0">
        <v>29</v>
      </c>
      <c r="E14" s="0">
        <v>7.2</v>
      </c>
      <c r="F14" s="0">
        <v>2.6</v>
      </c>
      <c r="G14" s="0">
        <v>2.02</v>
      </c>
      <c r="H14" s="0">
        <v>1.7</v>
      </c>
      <c r="I14" t="s" s="0">
        <v>42</v>
      </c>
      <c r="J14" s="0">
        <v>5</v>
      </c>
      <c r="K14" s="0">
        <v>7</v>
      </c>
      <c r="L14" s="0">
        <v>6</v>
      </c>
    </row>
    <row r="15" ht="14.25">
      <c r="A15" s="0">
        <v>17</v>
      </c>
      <c r="B15" t="s" s="0">
        <v>36</v>
      </c>
      <c r="C15" s="0">
        <v>6.8</v>
      </c>
      <c r="D15" t="s" s="0">
        <v>32</v>
      </c>
      <c r="E15" s="0">
        <v>5.7</v>
      </c>
      <c r="F15" s="0">
        <v>1.1</v>
      </c>
      <c r="G15" s="0">
        <v>3.29</v>
      </c>
      <c r="H15" s="0">
        <v>1.3</v>
      </c>
      <c r="I15" t="s" s="0">
        <v>42</v>
      </c>
      <c r="J15" s="0">
        <v>1</v>
      </c>
      <c r="K15" s="0">
        <v>10</v>
      </c>
      <c r="L15" s="0">
        <v>10</v>
      </c>
    </row>
    <row r="16" ht="14.25">
      <c r="A16" s="0">
        <v>15</v>
      </c>
      <c r="B16" t="s" s="0">
        <v>44</v>
      </c>
      <c r="C16" s="0">
        <v>5.7</v>
      </c>
      <c r="D16" t="s" s="0">
        <v>32</v>
      </c>
      <c r="E16" s="0">
        <v>5.9</v>
      </c>
      <c r="F16" s="0">
        <v>0.8</v>
      </c>
      <c r="G16" s="0">
        <v>3.5</v>
      </c>
      <c r="H16" s="0">
        <v>0.7</v>
      </c>
      <c r="I16" t="s" s="0">
        <v>39</v>
      </c>
      <c r="J16" s="0">
        <v>1</v>
      </c>
      <c r="K16" s="0">
        <v>9</v>
      </c>
      <c r="L16" s="0">
        <v>1</v>
      </c>
    </row>
    <row r="17" ht="14.25">
      <c r="A17" s="0">
        <v>14</v>
      </c>
      <c r="B17" t="s" s="0">
        <v>36</v>
      </c>
      <c r="C17" s="0">
        <v>3.6</v>
      </c>
      <c r="D17" t="s" s="0">
        <v>29</v>
      </c>
      <c r="E17" s="0">
        <v>5.3</v>
      </c>
      <c r="F17" s="0">
        <v>0.6</v>
      </c>
      <c r="G17" s="0">
        <v>2.99</v>
      </c>
      <c r="H17" s="0">
        <v>0.3</v>
      </c>
      <c r="I17" t="s" s="0">
        <v>30</v>
      </c>
      <c r="J17" s="0">
        <v>4</v>
      </c>
      <c r="K17" s="0">
        <v>10</v>
      </c>
      <c r="L17" s="0">
        <v>2</v>
      </c>
    </row>
    <row r="18" ht="14.25">
      <c r="A18" s="0">
        <v>13</v>
      </c>
      <c r="B18" t="s" s="0">
        <v>44</v>
      </c>
      <c r="C18" s="0">
        <v>1.5</v>
      </c>
      <c r="D18" t="s" s="0">
        <v>29</v>
      </c>
      <c r="E18" s="0">
        <v>4.2</v>
      </c>
      <c r="F18" s="0">
        <v>1.4</v>
      </c>
      <c r="G18" s="0">
        <v>2.59</v>
      </c>
      <c r="H18" s="0">
        <v>0.5</v>
      </c>
      <c r="I18" t="s" s="0">
        <v>30</v>
      </c>
      <c r="J18" s="0">
        <v>4</v>
      </c>
      <c r="K18" s="0">
        <v>5</v>
      </c>
      <c r="L18" s="0">
        <v>8</v>
      </c>
    </row>
    <row r="19" ht="14.25">
      <c r="A19" s="0">
        <v>16</v>
      </c>
      <c r="B19" t="s" s="0">
        <v>44</v>
      </c>
      <c r="C19" s="0">
        <v>3.1</v>
      </c>
      <c r="D19" t="s" s="0">
        <v>29</v>
      </c>
      <c r="E19" s="0">
        <v>6.1</v>
      </c>
      <c r="F19" s="0">
        <v>0.8</v>
      </c>
      <c r="G19" s="0">
        <v>2.11</v>
      </c>
      <c r="H19" s="0">
        <v>1.9</v>
      </c>
      <c r="I19" t="s" s="0">
        <v>30</v>
      </c>
      <c r="J19" s="0">
        <v>10</v>
      </c>
      <c r="K19" s="0">
        <v>7</v>
      </c>
      <c r="L19" s="0">
        <v>10</v>
      </c>
    </row>
    <row r="20" ht="14.25">
      <c r="A20" s="0">
        <v>16</v>
      </c>
      <c r="B20" t="s" s="0">
        <v>36</v>
      </c>
      <c r="C20" s="0">
        <v>6.7</v>
      </c>
      <c r="D20" t="s" s="0">
        <v>29</v>
      </c>
      <c r="E20" s="0">
        <v>6.8</v>
      </c>
      <c r="F20" s="0">
        <v>1.9</v>
      </c>
      <c r="G20" s="0">
        <v>3.08</v>
      </c>
      <c r="H20" s="0">
        <v>1.4</v>
      </c>
      <c r="I20" t="s" s="0">
        <v>30</v>
      </c>
      <c r="J20" s="0">
        <v>10</v>
      </c>
      <c r="K20" s="0">
        <v>9</v>
      </c>
      <c r="L20" s="0">
        <v>1</v>
      </c>
    </row>
    <row r="21" ht="14.25">
      <c r="A21" s="0">
        <v>14</v>
      </c>
      <c r="B21" t="s" s="0">
        <v>36</v>
      </c>
      <c r="C21" s="0">
        <v>1.2</v>
      </c>
      <c r="D21" t="s" s="0">
        <v>43</v>
      </c>
      <c r="E21" s="0">
        <v>7.6</v>
      </c>
      <c r="F21" s="0">
        <v>1</v>
      </c>
      <c r="G21" s="0">
        <v>3.85</v>
      </c>
      <c r="H21" s="0">
        <v>0.8</v>
      </c>
      <c r="I21" t="s" s="0">
        <v>30</v>
      </c>
      <c r="J21" s="0">
        <v>8</v>
      </c>
      <c r="K21" s="0">
        <v>4</v>
      </c>
      <c r="L21" s="0">
        <v>6</v>
      </c>
    </row>
    <row r="22" ht="14.25">
      <c r="A22" s="0">
        <v>16</v>
      </c>
      <c r="B22" t="s" s="0">
        <v>44</v>
      </c>
      <c r="C22" s="0">
        <v>3.4</v>
      </c>
      <c r="D22" t="s" s="0">
        <v>32</v>
      </c>
      <c r="E22" s="0">
        <v>4.6</v>
      </c>
      <c r="F22" s="0">
        <v>2.1</v>
      </c>
      <c r="G22" s="0">
        <v>2.24</v>
      </c>
      <c r="H22" s="0">
        <v>0.4</v>
      </c>
      <c r="I22" t="s" s="0">
        <v>30</v>
      </c>
      <c r="J22" s="0">
        <v>4</v>
      </c>
      <c r="K22" s="0">
        <v>1</v>
      </c>
      <c r="L22" s="0">
        <v>3</v>
      </c>
    </row>
    <row r="23" ht="14.25">
      <c r="A23" s="0">
        <v>18</v>
      </c>
      <c r="B23" t="s" s="0">
        <v>44</v>
      </c>
      <c r="C23" s="0">
        <v>4.1</v>
      </c>
      <c r="D23" t="s" s="0">
        <v>29</v>
      </c>
      <c r="E23" s="0">
        <v>7.4</v>
      </c>
      <c r="F23" s="0">
        <v>2.4</v>
      </c>
      <c r="G23" s="0">
        <v>2.38</v>
      </c>
      <c r="H23" s="0">
        <v>1.5</v>
      </c>
      <c r="I23" t="s" s="0">
        <v>42</v>
      </c>
      <c r="J23" s="0">
        <v>8</v>
      </c>
      <c r="K23" s="0">
        <v>4</v>
      </c>
      <c r="L23" s="0">
        <v>9</v>
      </c>
    </row>
    <row r="24" ht="14.25">
      <c r="A24" s="0">
        <v>18</v>
      </c>
      <c r="B24" t="s" s="0">
        <v>44</v>
      </c>
      <c r="C24" s="0">
        <v>5.3</v>
      </c>
      <c r="D24" t="s" s="0">
        <v>43</v>
      </c>
      <c r="E24" s="0">
        <v>4.9</v>
      </c>
      <c r="F24" s="0">
        <v>1.2</v>
      </c>
      <c r="G24" s="0">
        <v>3.69</v>
      </c>
      <c r="H24" s="0">
        <v>1.2</v>
      </c>
      <c r="I24" t="s" s="0">
        <v>39</v>
      </c>
      <c r="J24" s="0">
        <v>5</v>
      </c>
      <c r="K24" s="0">
        <v>4</v>
      </c>
      <c r="L24" s="0">
        <v>5</v>
      </c>
    </row>
    <row r="25" ht="14.25">
      <c r="A25" s="0">
        <v>18</v>
      </c>
      <c r="B25" t="s" s="0">
        <v>36</v>
      </c>
      <c r="C25" s="0">
        <v>2.3</v>
      </c>
      <c r="D25" t="s" s="0">
        <v>32</v>
      </c>
      <c r="E25" s="0">
        <v>7.6</v>
      </c>
      <c r="F25" s="0">
        <v>0.5</v>
      </c>
      <c r="G25" s="0">
        <v>2.96</v>
      </c>
      <c r="H25" s="0">
        <v>1.7</v>
      </c>
      <c r="I25" t="s" s="0">
        <v>42</v>
      </c>
      <c r="J25" s="0">
        <v>9</v>
      </c>
      <c r="K25" s="0">
        <v>8</v>
      </c>
      <c r="L25" s="0">
        <v>7</v>
      </c>
    </row>
    <row r="26" ht="14.25">
      <c r="A26" s="0">
        <v>18</v>
      </c>
      <c r="B26" t="s" s="0">
        <v>36</v>
      </c>
      <c r="C26" s="0">
        <v>2.4</v>
      </c>
      <c r="D26" t="s" s="0">
        <v>29</v>
      </c>
      <c r="E26" s="0">
        <v>6.7</v>
      </c>
      <c r="F26" s="0">
        <v>1.9</v>
      </c>
      <c r="G26" s="0">
        <v>2.53</v>
      </c>
      <c r="H26" s="0">
        <v>0.4</v>
      </c>
      <c r="I26" t="s" s="0">
        <v>30</v>
      </c>
      <c r="J26" s="0">
        <v>8</v>
      </c>
      <c r="K26" s="0">
        <v>8</v>
      </c>
      <c r="L26" s="0">
        <v>2</v>
      </c>
    </row>
    <row r="27" ht="14.25">
      <c r="A27" s="0">
        <v>13</v>
      </c>
      <c r="B27" t="s" s="0">
        <v>36</v>
      </c>
      <c r="C27" s="0">
        <v>1.5</v>
      </c>
      <c r="D27" t="s" s="0">
        <v>29</v>
      </c>
      <c r="E27" s="0">
        <v>7.2</v>
      </c>
      <c r="F27" s="0">
        <v>2.5</v>
      </c>
      <c r="G27" s="0">
        <v>2.15</v>
      </c>
      <c r="H27" s="0">
        <v>1.3</v>
      </c>
      <c r="I27" t="s" s="0">
        <v>42</v>
      </c>
      <c r="J27" s="0">
        <v>4</v>
      </c>
      <c r="K27" s="0">
        <v>6</v>
      </c>
      <c r="L27" s="0">
        <v>2</v>
      </c>
    </row>
    <row r="28" ht="14.25">
      <c r="A28" s="0">
        <v>14</v>
      </c>
      <c r="B28" t="s" s="0">
        <v>36</v>
      </c>
      <c r="C28" s="0">
        <v>5.7</v>
      </c>
      <c r="D28" t="s" s="0">
        <v>29</v>
      </c>
      <c r="E28" s="0">
        <v>8.7</v>
      </c>
      <c r="F28" s="0">
        <v>0.6</v>
      </c>
      <c r="G28" s="0">
        <v>2.64</v>
      </c>
      <c r="H28" s="0">
        <v>0.1</v>
      </c>
      <c r="I28" t="s" s="0">
        <v>39</v>
      </c>
      <c r="J28" s="0">
        <v>8</v>
      </c>
      <c r="K28" s="0">
        <v>9</v>
      </c>
      <c r="L28" s="0">
        <v>4</v>
      </c>
    </row>
    <row r="29" ht="14.25">
      <c r="A29" s="0">
        <v>19</v>
      </c>
      <c r="B29" t="s" s="0">
        <v>44</v>
      </c>
      <c r="C29" s="0">
        <v>2</v>
      </c>
      <c r="D29" t="s" s="0">
        <v>32</v>
      </c>
      <c r="E29" s="0">
        <v>7.1</v>
      </c>
      <c r="F29" s="0">
        <v>0.9</v>
      </c>
      <c r="G29" s="0">
        <v>3.26</v>
      </c>
      <c r="H29" s="0">
        <v>1.6</v>
      </c>
      <c r="I29" t="s" s="0">
        <v>30</v>
      </c>
      <c r="J29" s="0">
        <v>7</v>
      </c>
      <c r="K29" s="0">
        <v>5</v>
      </c>
      <c r="L29" s="0">
        <v>9</v>
      </c>
    </row>
    <row r="30" ht="14.25">
      <c r="A30" s="0">
        <v>14</v>
      </c>
      <c r="B30" t="s" s="0">
        <v>44</v>
      </c>
      <c r="C30" s="0">
        <v>2.5</v>
      </c>
      <c r="D30" t="s" s="0">
        <v>32</v>
      </c>
      <c r="E30" s="0">
        <v>5.6</v>
      </c>
      <c r="F30" s="0">
        <v>2.9</v>
      </c>
      <c r="G30" s="0">
        <v>2.24</v>
      </c>
      <c r="H30" s="0">
        <v>0.5</v>
      </c>
      <c r="I30" t="s" s="0">
        <v>39</v>
      </c>
      <c r="J30" s="0">
        <v>3</v>
      </c>
      <c r="K30" s="0">
        <v>9</v>
      </c>
      <c r="L30" s="0">
        <v>5</v>
      </c>
    </row>
    <row r="31" ht="14.25">
      <c r="A31" s="0">
        <v>16</v>
      </c>
      <c r="B31" t="s" s="0">
        <v>36</v>
      </c>
      <c r="C31" s="0">
        <v>3.4</v>
      </c>
      <c r="D31" t="s" s="0">
        <v>32</v>
      </c>
      <c r="E31" s="0">
        <v>7.8</v>
      </c>
      <c r="F31" s="0">
        <v>2.8</v>
      </c>
      <c r="G31" s="0">
        <v>3.83</v>
      </c>
      <c r="H31" s="0">
        <v>1.8</v>
      </c>
      <c r="I31" t="s" s="0">
        <v>42</v>
      </c>
      <c r="J31" s="0">
        <v>6</v>
      </c>
      <c r="K31" s="0">
        <v>6</v>
      </c>
      <c r="L31" s="0">
        <v>4</v>
      </c>
    </row>
    <row r="32" ht="14.25">
      <c r="A32" s="0">
        <v>13</v>
      </c>
      <c r="B32" t="s" s="0">
        <v>44</v>
      </c>
      <c r="C32" s="0">
        <v>6.6</v>
      </c>
      <c r="D32" t="s" s="0">
        <v>32</v>
      </c>
      <c r="E32" s="0">
        <v>5.7</v>
      </c>
      <c r="F32" s="0">
        <v>2.5</v>
      </c>
      <c r="G32" s="0">
        <v>2.67</v>
      </c>
      <c r="H32" s="0">
        <v>1.1</v>
      </c>
      <c r="I32" t="s" s="0">
        <v>39</v>
      </c>
      <c r="J32" s="0">
        <v>2</v>
      </c>
      <c r="K32" s="0">
        <v>1</v>
      </c>
      <c r="L32" s="0">
        <v>10</v>
      </c>
    </row>
    <row r="33" ht="14.25">
      <c r="A33" s="0">
        <v>13</v>
      </c>
      <c r="B33" t="s" s="0">
        <v>36</v>
      </c>
      <c r="C33" s="0">
        <v>1.6</v>
      </c>
      <c r="D33" t="s" s="0">
        <v>43</v>
      </c>
      <c r="E33" s="0">
        <v>8.7</v>
      </c>
      <c r="F33" s="0">
        <v>2.5</v>
      </c>
      <c r="G33" s="0">
        <v>3.69</v>
      </c>
      <c r="H33" s="0">
        <v>0.4</v>
      </c>
      <c r="I33" t="s" s="0">
        <v>30</v>
      </c>
      <c r="J33" s="0">
        <v>8</v>
      </c>
      <c r="K33" s="0">
        <v>2</v>
      </c>
      <c r="L33" s="0">
        <v>9</v>
      </c>
    </row>
    <row r="34" ht="14.25">
      <c r="A34" s="0">
        <v>16</v>
      </c>
      <c r="B34" t="s" s="0">
        <v>44</v>
      </c>
      <c r="C34" s="0">
        <v>2.7</v>
      </c>
      <c r="D34" t="s" s="0">
        <v>43</v>
      </c>
      <c r="E34" s="0">
        <v>4.2</v>
      </c>
      <c r="F34" s="0">
        <v>2.4</v>
      </c>
      <c r="G34" s="0">
        <v>3.05</v>
      </c>
      <c r="H34" s="0">
        <v>0.2</v>
      </c>
      <c r="I34" t="s" s="0">
        <v>30</v>
      </c>
      <c r="J34" s="0">
        <v>1</v>
      </c>
      <c r="K34" s="0">
        <v>8</v>
      </c>
      <c r="L34" s="0">
        <v>4</v>
      </c>
    </row>
    <row r="35" ht="14.25">
      <c r="A35" s="0">
        <v>14</v>
      </c>
      <c r="B35" t="s" s="0">
        <v>44</v>
      </c>
      <c r="C35" s="0">
        <v>4.1</v>
      </c>
      <c r="D35" t="s" s="0">
        <v>32</v>
      </c>
      <c r="E35" s="0">
        <v>8</v>
      </c>
      <c r="F35" s="0">
        <v>3</v>
      </c>
      <c r="G35" s="0">
        <v>2.31</v>
      </c>
      <c r="H35" s="0">
        <v>0.8</v>
      </c>
      <c r="I35" t="s" s="0">
        <v>39</v>
      </c>
      <c r="J35" s="0">
        <v>8</v>
      </c>
      <c r="K35" s="0">
        <v>4</v>
      </c>
      <c r="L35" s="0">
        <v>1</v>
      </c>
    </row>
    <row r="36" ht="14.25">
      <c r="A36" s="0">
        <v>13</v>
      </c>
      <c r="B36" t="s" s="0">
        <v>36</v>
      </c>
      <c r="C36" s="0">
        <v>6.6</v>
      </c>
      <c r="D36" t="s" s="0">
        <v>32</v>
      </c>
      <c r="E36" s="0">
        <v>7.3</v>
      </c>
      <c r="F36" s="0">
        <v>1.6</v>
      </c>
      <c r="G36" s="0">
        <v>3.27</v>
      </c>
      <c r="H36" s="0">
        <v>0.1</v>
      </c>
      <c r="I36" t="s" s="0">
        <v>42</v>
      </c>
      <c r="J36" s="0">
        <v>10</v>
      </c>
      <c r="K36" s="0">
        <v>2</v>
      </c>
      <c r="L36" s="0">
        <v>1</v>
      </c>
    </row>
    <row r="37" ht="14.25">
      <c r="A37" s="0">
        <v>17</v>
      </c>
      <c r="B37" t="s" s="0">
        <v>36</v>
      </c>
      <c r="C37" s="0">
        <v>5</v>
      </c>
      <c r="D37" t="s" s="0">
        <v>29</v>
      </c>
      <c r="E37" s="0">
        <v>4.9</v>
      </c>
      <c r="F37" s="0">
        <v>2.1</v>
      </c>
      <c r="G37" s="0">
        <v>2.01</v>
      </c>
      <c r="H37" s="0">
        <v>1</v>
      </c>
      <c r="I37" t="s" s="0">
        <v>39</v>
      </c>
      <c r="J37" s="0">
        <v>9</v>
      </c>
      <c r="K37" s="0">
        <v>4</v>
      </c>
      <c r="L37" s="0">
        <v>9</v>
      </c>
    </row>
    <row r="38" ht="14.25">
      <c r="A38" s="0">
        <v>19</v>
      </c>
      <c r="B38" t="s" s="0">
        <v>36</v>
      </c>
      <c r="C38" s="0">
        <v>4.6</v>
      </c>
      <c r="D38" t="s" s="0">
        <v>43</v>
      </c>
      <c r="E38" s="0">
        <v>5.5</v>
      </c>
      <c r="F38" s="0">
        <v>2.5</v>
      </c>
      <c r="G38" s="0">
        <v>3.96</v>
      </c>
      <c r="H38" s="0">
        <v>0.8</v>
      </c>
      <c r="I38" t="s" s="0">
        <v>30</v>
      </c>
      <c r="J38" s="0">
        <v>3</v>
      </c>
      <c r="K38" s="0">
        <v>10</v>
      </c>
      <c r="L38" s="0">
        <v>7</v>
      </c>
    </row>
    <row r="39" ht="14.25">
      <c r="A39" s="0">
        <v>17</v>
      </c>
      <c r="B39" t="s" s="0">
        <v>36</v>
      </c>
      <c r="C39" s="0">
        <v>4.8</v>
      </c>
      <c r="D39" t="s" s="0">
        <v>43</v>
      </c>
      <c r="E39" s="0">
        <v>4.4</v>
      </c>
      <c r="F39" s="0">
        <v>1.3</v>
      </c>
      <c r="G39" s="0">
        <v>2.02</v>
      </c>
      <c r="H39" s="0">
        <v>0.5</v>
      </c>
      <c r="I39" t="s" s="0">
        <v>39</v>
      </c>
      <c r="J39" s="0">
        <v>5</v>
      </c>
      <c r="K39" s="0">
        <v>10</v>
      </c>
      <c r="L39" s="0">
        <v>6</v>
      </c>
    </row>
    <row r="40" ht="14.25">
      <c r="A40" s="0">
        <v>17</v>
      </c>
      <c r="B40" t="s" s="0">
        <v>36</v>
      </c>
      <c r="C40" s="0">
        <v>1.3</v>
      </c>
      <c r="D40" t="s" s="0">
        <v>32</v>
      </c>
      <c r="E40" s="0">
        <v>8</v>
      </c>
      <c r="F40" s="0">
        <v>2</v>
      </c>
      <c r="G40" s="0">
        <v>2.84</v>
      </c>
      <c r="H40" s="0">
        <v>1.8</v>
      </c>
      <c r="I40" t="s" s="0">
        <v>30</v>
      </c>
      <c r="J40" s="0">
        <v>1</v>
      </c>
      <c r="K40" s="0">
        <v>7</v>
      </c>
      <c r="L40" s="0">
        <v>8</v>
      </c>
    </row>
    <row r="41" ht="14.25">
      <c r="A41" s="0">
        <v>17</v>
      </c>
      <c r="B41" t="s" s="0">
        <v>36</v>
      </c>
      <c r="C41" s="0">
        <v>6.3</v>
      </c>
      <c r="D41" t="s" s="0">
        <v>43</v>
      </c>
      <c r="E41" s="0">
        <v>4</v>
      </c>
      <c r="F41" s="0">
        <v>1</v>
      </c>
      <c r="G41" s="0">
        <v>2.43</v>
      </c>
      <c r="H41" s="0">
        <v>1.2</v>
      </c>
      <c r="I41" t="s" s="0">
        <v>30</v>
      </c>
      <c r="J41" s="0">
        <v>1</v>
      </c>
      <c r="K41" s="0">
        <v>10</v>
      </c>
      <c r="L41" s="0">
        <v>9</v>
      </c>
    </row>
    <row r="42" ht="14.25">
      <c r="A42" s="0">
        <v>14</v>
      </c>
      <c r="B42" t="s" s="0">
        <v>44</v>
      </c>
      <c r="C42" s="0">
        <v>6.4</v>
      </c>
      <c r="D42" t="s" s="0">
        <v>43</v>
      </c>
      <c r="E42" s="0">
        <v>5.7</v>
      </c>
      <c r="F42" s="0">
        <v>0.9</v>
      </c>
      <c r="G42" s="0">
        <v>2.06</v>
      </c>
      <c r="H42" s="0">
        <v>1.8</v>
      </c>
      <c r="I42" t="s" s="0">
        <v>30</v>
      </c>
      <c r="J42" s="0">
        <v>10</v>
      </c>
      <c r="K42" s="0">
        <v>4</v>
      </c>
      <c r="L42" s="0">
        <v>2</v>
      </c>
    </row>
    <row r="43" ht="14.25">
      <c r="A43" s="0">
        <v>19</v>
      </c>
      <c r="B43" t="s" s="0">
        <v>44</v>
      </c>
      <c r="C43" s="0">
        <v>1.6</v>
      </c>
      <c r="D43" t="s" s="0">
        <v>43</v>
      </c>
      <c r="E43" s="0">
        <v>8.6</v>
      </c>
      <c r="F43" s="0">
        <v>2.4</v>
      </c>
      <c r="G43" s="0">
        <v>3.81</v>
      </c>
      <c r="H43" s="0">
        <v>0.4</v>
      </c>
      <c r="I43" t="s" s="0">
        <v>39</v>
      </c>
      <c r="J43" s="0">
        <v>10</v>
      </c>
      <c r="K43" s="0">
        <v>4</v>
      </c>
      <c r="L43" s="0">
        <v>1</v>
      </c>
    </row>
    <row r="44" ht="14.25">
      <c r="A44" s="0">
        <v>14</v>
      </c>
      <c r="B44" t="s" s="0">
        <v>36</v>
      </c>
      <c r="C44" s="0">
        <v>7.3</v>
      </c>
      <c r="D44" t="s" s="0">
        <v>43</v>
      </c>
      <c r="E44" s="0">
        <v>7.7</v>
      </c>
      <c r="F44" s="0">
        <v>1.4</v>
      </c>
      <c r="G44" s="0">
        <v>3.42</v>
      </c>
      <c r="H44" s="0">
        <v>0.3</v>
      </c>
      <c r="I44" t="s" s="0">
        <v>42</v>
      </c>
      <c r="J44" s="0">
        <v>6</v>
      </c>
      <c r="K44" s="0">
        <v>1</v>
      </c>
      <c r="L44" s="0">
        <v>8</v>
      </c>
    </row>
    <row r="45" ht="14.25">
      <c r="A45" s="0">
        <v>15</v>
      </c>
      <c r="B45" t="s" s="0">
        <v>44</v>
      </c>
      <c r="C45" s="0">
        <v>4</v>
      </c>
      <c r="D45" t="s" s="0">
        <v>29</v>
      </c>
      <c r="E45" s="0">
        <v>8.8</v>
      </c>
      <c r="F45" s="0">
        <v>1.3</v>
      </c>
      <c r="G45" s="0">
        <v>3.59</v>
      </c>
      <c r="H45" s="0">
        <v>1.9</v>
      </c>
      <c r="I45" t="s" s="0">
        <v>42</v>
      </c>
      <c r="J45" s="0">
        <v>10</v>
      </c>
      <c r="K45" s="0">
        <v>6</v>
      </c>
      <c r="L45" s="0">
        <v>10</v>
      </c>
    </row>
    <row r="46" ht="14.25">
      <c r="A46" s="0">
        <v>14</v>
      </c>
      <c r="B46" t="s" s="0">
        <v>44</v>
      </c>
      <c r="C46" s="0">
        <v>5.2</v>
      </c>
      <c r="D46" t="s" s="0">
        <v>29</v>
      </c>
      <c r="E46" s="0">
        <v>4.1</v>
      </c>
      <c r="F46" s="0">
        <v>2.1</v>
      </c>
      <c r="G46" s="0">
        <v>3.07</v>
      </c>
      <c r="H46" s="0">
        <v>0.2</v>
      </c>
      <c r="I46" t="s" s="0">
        <v>42</v>
      </c>
      <c r="J46" s="0">
        <v>9</v>
      </c>
      <c r="K46" s="0">
        <v>3</v>
      </c>
      <c r="L46" s="0">
        <v>8</v>
      </c>
    </row>
    <row r="47" ht="14.25">
      <c r="A47" s="0">
        <v>14</v>
      </c>
      <c r="B47" t="s" s="0">
        <v>36</v>
      </c>
      <c r="C47" s="0">
        <v>4.5</v>
      </c>
      <c r="D47" t="s" s="0">
        <v>32</v>
      </c>
      <c r="E47" s="0">
        <v>4.8</v>
      </c>
      <c r="F47" s="0">
        <v>0.9</v>
      </c>
      <c r="G47" s="0">
        <v>2.22</v>
      </c>
      <c r="H47" s="0">
        <v>0.8</v>
      </c>
      <c r="I47" t="s" s="0">
        <v>39</v>
      </c>
      <c r="J47" s="0">
        <v>1</v>
      </c>
      <c r="K47" s="0">
        <v>4</v>
      </c>
      <c r="L47" s="0">
        <v>10</v>
      </c>
    </row>
    <row r="48" ht="14.25">
      <c r="A48" s="0">
        <v>18</v>
      </c>
      <c r="B48" t="s" s="0">
        <v>44</v>
      </c>
      <c r="C48" s="0">
        <v>6.8</v>
      </c>
      <c r="D48" t="s" s="0">
        <v>32</v>
      </c>
      <c r="E48" s="0">
        <v>8.6</v>
      </c>
      <c r="F48" s="0">
        <v>1.1</v>
      </c>
      <c r="G48" s="0">
        <v>2.36</v>
      </c>
      <c r="H48" s="0">
        <v>1.6</v>
      </c>
      <c r="I48" t="s" s="0">
        <v>30</v>
      </c>
      <c r="J48" s="0">
        <v>1</v>
      </c>
      <c r="K48" s="0">
        <v>10</v>
      </c>
      <c r="L48" s="0">
        <v>10</v>
      </c>
    </row>
    <row r="49" ht="14.25">
      <c r="A49" s="0">
        <v>13</v>
      </c>
      <c r="B49" t="s" s="0">
        <v>36</v>
      </c>
      <c r="C49" s="0">
        <v>3.5</v>
      </c>
      <c r="D49" t="s" s="0">
        <v>43</v>
      </c>
      <c r="E49" s="0">
        <v>5.1</v>
      </c>
      <c r="F49" s="0">
        <v>1.1</v>
      </c>
      <c r="G49" s="0">
        <v>2.27</v>
      </c>
      <c r="H49" s="0">
        <v>1.8</v>
      </c>
      <c r="I49" t="s" s="0">
        <v>42</v>
      </c>
      <c r="J49" s="0">
        <v>2</v>
      </c>
      <c r="K49" s="0">
        <v>5</v>
      </c>
      <c r="L49" s="0">
        <v>6</v>
      </c>
    </row>
    <row r="50" ht="14.25">
      <c r="A50" s="0">
        <v>16</v>
      </c>
      <c r="B50" t="s" s="0">
        <v>44</v>
      </c>
      <c r="C50" s="0">
        <v>2.3</v>
      </c>
      <c r="D50" t="s" s="0">
        <v>32</v>
      </c>
      <c r="E50" s="0">
        <v>6.3</v>
      </c>
      <c r="F50" s="0">
        <v>3</v>
      </c>
      <c r="G50" s="0">
        <v>3.24</v>
      </c>
      <c r="H50" s="0">
        <v>1.9</v>
      </c>
      <c r="I50" t="s" s="0">
        <v>42</v>
      </c>
      <c r="J50" s="0">
        <v>4</v>
      </c>
      <c r="K50" s="0">
        <v>4</v>
      </c>
      <c r="L50" s="0">
        <v>9</v>
      </c>
    </row>
    <row r="51" ht="14.25">
      <c r="A51" s="0">
        <v>14</v>
      </c>
      <c r="B51" t="s" s="0">
        <v>44</v>
      </c>
      <c r="C51" s="0">
        <v>1.2</v>
      </c>
      <c r="D51" t="s" s="0">
        <v>43</v>
      </c>
      <c r="E51" s="0">
        <v>8.5</v>
      </c>
      <c r="F51" s="0">
        <v>1.8</v>
      </c>
      <c r="G51" s="0">
        <v>3.65</v>
      </c>
      <c r="H51" s="0">
        <v>1.8</v>
      </c>
      <c r="I51" t="s" s="0">
        <v>30</v>
      </c>
      <c r="J51" s="0">
        <v>5</v>
      </c>
      <c r="K51" s="0">
        <v>10</v>
      </c>
      <c r="L51" s="0">
        <v>10</v>
      </c>
    </row>
    <row r="52" ht="14.25">
      <c r="A52" s="0">
        <v>13</v>
      </c>
      <c r="B52" t="s" s="0">
        <v>44</v>
      </c>
      <c r="C52" s="0">
        <v>6.2</v>
      </c>
      <c r="D52" t="s" s="0">
        <v>29</v>
      </c>
      <c r="E52" s="0">
        <v>7.1</v>
      </c>
      <c r="F52" s="0">
        <v>2.2</v>
      </c>
      <c r="G52" s="0">
        <v>3.43</v>
      </c>
      <c r="H52" s="0">
        <v>0.2</v>
      </c>
      <c r="I52" t="s" s="0">
        <v>42</v>
      </c>
      <c r="J52" s="0">
        <v>5</v>
      </c>
      <c r="K52" s="0">
        <v>2</v>
      </c>
      <c r="L52" s="0">
        <v>2</v>
      </c>
    </row>
    <row r="53" ht="14.25">
      <c r="A53" s="0">
        <v>18</v>
      </c>
      <c r="B53" t="s" s="0">
        <v>44</v>
      </c>
      <c r="C53" s="0">
        <v>4.5</v>
      </c>
      <c r="D53" t="s" s="0">
        <v>32</v>
      </c>
      <c r="E53" s="0">
        <v>4.1</v>
      </c>
      <c r="F53" s="0">
        <v>1.9</v>
      </c>
      <c r="G53" s="0">
        <v>3.42</v>
      </c>
      <c r="H53" s="0">
        <v>0.1</v>
      </c>
      <c r="I53" t="s" s="0">
        <v>42</v>
      </c>
      <c r="J53" s="0">
        <v>6</v>
      </c>
      <c r="K53" s="0">
        <v>7</v>
      </c>
      <c r="L53" s="0">
        <v>8</v>
      </c>
    </row>
    <row r="54" ht="14.25">
      <c r="A54" s="0">
        <v>18</v>
      </c>
      <c r="B54" t="s" s="0">
        <v>44</v>
      </c>
      <c r="C54" s="0">
        <v>2.9</v>
      </c>
      <c r="D54" t="s" s="0">
        <v>43</v>
      </c>
      <c r="E54" s="0">
        <v>4.5</v>
      </c>
      <c r="F54" s="0">
        <v>2.5</v>
      </c>
      <c r="G54" s="0">
        <v>3.16</v>
      </c>
      <c r="H54" s="0">
        <v>1.3</v>
      </c>
      <c r="I54" t="s" s="0">
        <v>39</v>
      </c>
      <c r="J54" s="0">
        <v>3</v>
      </c>
      <c r="K54" s="0">
        <v>7</v>
      </c>
      <c r="L54" s="0">
        <v>8</v>
      </c>
    </row>
    <row r="55" ht="14.25">
      <c r="A55" s="0">
        <v>13</v>
      </c>
      <c r="B55" t="s" s="0">
        <v>36</v>
      </c>
      <c r="C55" s="0">
        <v>5.8</v>
      </c>
      <c r="D55" t="s" s="0">
        <v>32</v>
      </c>
      <c r="E55" s="0">
        <v>8.5</v>
      </c>
      <c r="F55" s="0">
        <v>2.3</v>
      </c>
      <c r="G55" s="0">
        <v>3.3</v>
      </c>
      <c r="H55" s="0">
        <v>1.9</v>
      </c>
      <c r="I55" t="s" s="0">
        <v>30</v>
      </c>
      <c r="J55" s="0">
        <v>1</v>
      </c>
      <c r="K55" s="0">
        <v>1</v>
      </c>
      <c r="L55" s="0">
        <v>5</v>
      </c>
    </row>
    <row r="56" ht="14.25">
      <c r="A56" s="0">
        <v>18</v>
      </c>
      <c r="B56" t="s" s="0">
        <v>44</v>
      </c>
      <c r="C56" s="0">
        <v>6.8</v>
      </c>
      <c r="D56" t="s" s="0">
        <v>43</v>
      </c>
      <c r="E56" s="0">
        <v>6.5</v>
      </c>
      <c r="F56" s="0">
        <v>2.7</v>
      </c>
      <c r="G56" s="0">
        <v>2.97</v>
      </c>
      <c r="H56" s="0">
        <v>1.9</v>
      </c>
      <c r="I56" t="s" s="0">
        <v>39</v>
      </c>
      <c r="J56" s="0">
        <v>4</v>
      </c>
      <c r="K56" s="0">
        <v>4</v>
      </c>
      <c r="L56" s="0">
        <v>5</v>
      </c>
    </row>
    <row r="57" ht="14.25">
      <c r="A57" s="0">
        <v>15</v>
      </c>
      <c r="B57" t="s" s="0">
        <v>36</v>
      </c>
      <c r="C57" s="0">
        <v>7.4</v>
      </c>
      <c r="D57" t="s" s="0">
        <v>43</v>
      </c>
      <c r="E57" s="0">
        <v>8.6</v>
      </c>
      <c r="F57" s="0">
        <v>0.9</v>
      </c>
      <c r="G57" s="0">
        <v>2.3</v>
      </c>
      <c r="H57" s="0">
        <v>0</v>
      </c>
      <c r="I57" t="s" s="0">
        <v>39</v>
      </c>
      <c r="J57" s="0">
        <v>1</v>
      </c>
      <c r="K57" s="0">
        <v>5</v>
      </c>
      <c r="L57" s="0">
        <v>3</v>
      </c>
    </row>
    <row r="58" ht="14.25">
      <c r="A58" s="0">
        <v>18</v>
      </c>
      <c r="B58" t="s" s="0">
        <v>44</v>
      </c>
      <c r="C58" s="0">
        <v>4.5</v>
      </c>
      <c r="D58" t="s" s="0">
        <v>32</v>
      </c>
      <c r="E58" s="0">
        <v>5</v>
      </c>
      <c r="F58" s="0">
        <v>2.5</v>
      </c>
      <c r="G58" s="0">
        <v>2.65</v>
      </c>
      <c r="H58" s="0">
        <v>0.7</v>
      </c>
      <c r="I58" t="s" s="0">
        <v>42</v>
      </c>
      <c r="J58" s="0">
        <v>8</v>
      </c>
      <c r="K58" s="0">
        <v>9</v>
      </c>
      <c r="L58" s="0">
        <v>1</v>
      </c>
    </row>
    <row r="59" ht="14.25">
      <c r="A59" s="0">
        <v>16</v>
      </c>
      <c r="B59" t="s" s="0">
        <v>44</v>
      </c>
      <c r="C59" s="0">
        <v>6.4</v>
      </c>
      <c r="D59" t="s" s="0">
        <v>32</v>
      </c>
      <c r="E59" s="0">
        <v>5.3</v>
      </c>
      <c r="F59" s="0">
        <v>2.4</v>
      </c>
      <c r="G59" s="0">
        <v>2.03</v>
      </c>
      <c r="H59" s="0">
        <v>1.7</v>
      </c>
      <c r="I59" t="s" s="0">
        <v>42</v>
      </c>
      <c r="J59" s="0">
        <v>7</v>
      </c>
      <c r="K59" s="0">
        <v>5</v>
      </c>
      <c r="L59" s="0">
        <v>10</v>
      </c>
    </row>
    <row r="60" ht="14.25">
      <c r="A60" s="0">
        <v>13</v>
      </c>
      <c r="B60" t="s" s="0">
        <v>44</v>
      </c>
      <c r="C60" s="0">
        <v>7.3</v>
      </c>
      <c r="D60" t="s" s="0">
        <v>29</v>
      </c>
      <c r="E60" s="0">
        <v>4.2</v>
      </c>
      <c r="F60" s="0">
        <v>1.3</v>
      </c>
      <c r="G60" s="0">
        <v>2.16</v>
      </c>
      <c r="H60" s="0">
        <v>1</v>
      </c>
      <c r="I60" t="s" s="0">
        <v>30</v>
      </c>
      <c r="J60" s="0">
        <v>4</v>
      </c>
      <c r="K60" s="0">
        <v>5</v>
      </c>
      <c r="L60" s="0">
        <v>2</v>
      </c>
    </row>
    <row r="61" ht="14.25">
      <c r="A61" s="0">
        <v>17</v>
      </c>
      <c r="B61" t="s" s="0">
        <v>36</v>
      </c>
      <c r="C61" s="0">
        <v>7.1</v>
      </c>
      <c r="D61" t="s" s="0">
        <v>43</v>
      </c>
      <c r="E61" s="0">
        <v>5.6</v>
      </c>
      <c r="F61" s="0">
        <v>0.6</v>
      </c>
      <c r="G61" s="0">
        <v>3.07</v>
      </c>
      <c r="H61" s="0">
        <v>1</v>
      </c>
      <c r="I61" t="s" s="0">
        <v>42</v>
      </c>
      <c r="J61" s="0">
        <v>1</v>
      </c>
      <c r="K61" s="0">
        <v>3</v>
      </c>
      <c r="L61" s="0">
        <v>7</v>
      </c>
    </row>
    <row r="62" ht="14.25">
      <c r="A62" s="0">
        <v>18</v>
      </c>
      <c r="B62" t="s" s="0">
        <v>44</v>
      </c>
      <c r="C62" s="0">
        <v>1.6</v>
      </c>
      <c r="D62" t="s" s="0">
        <v>32</v>
      </c>
      <c r="E62" s="0">
        <v>5.1</v>
      </c>
      <c r="F62" s="0">
        <v>2.7</v>
      </c>
      <c r="G62" s="0">
        <v>3.57</v>
      </c>
      <c r="H62" s="0">
        <v>0.8</v>
      </c>
      <c r="I62" t="s" s="0">
        <v>30</v>
      </c>
      <c r="J62" s="0">
        <v>3</v>
      </c>
      <c r="K62" s="0">
        <v>9</v>
      </c>
      <c r="L62" s="0">
        <v>7</v>
      </c>
    </row>
    <row r="63" ht="14.25">
      <c r="A63" s="0">
        <v>15</v>
      </c>
      <c r="B63" t="s" s="0">
        <v>36</v>
      </c>
      <c r="C63" s="0">
        <v>1.5</v>
      </c>
      <c r="D63" t="s" s="0">
        <v>43</v>
      </c>
      <c r="E63" s="0">
        <v>4.7</v>
      </c>
      <c r="F63" s="0">
        <v>1</v>
      </c>
      <c r="G63" s="0">
        <v>3.82</v>
      </c>
      <c r="H63" s="0">
        <v>0.6</v>
      </c>
      <c r="I63" t="s" s="0">
        <v>42</v>
      </c>
      <c r="J63" s="0">
        <v>6</v>
      </c>
      <c r="K63" s="0">
        <v>1</v>
      </c>
      <c r="L63" s="0">
        <v>4</v>
      </c>
    </row>
    <row r="64" ht="14.25">
      <c r="A64" s="0">
        <v>13</v>
      </c>
      <c r="B64" t="s" s="0">
        <v>44</v>
      </c>
      <c r="C64" s="0">
        <v>4.3</v>
      </c>
      <c r="D64" t="s" s="0">
        <v>29</v>
      </c>
      <c r="E64" s="0">
        <v>5.8</v>
      </c>
      <c r="F64" s="0">
        <v>0.7</v>
      </c>
      <c r="G64" s="0">
        <v>3.15</v>
      </c>
      <c r="H64" s="0">
        <v>0.1</v>
      </c>
      <c r="I64" t="s" s="0">
        <v>42</v>
      </c>
      <c r="J64" s="0">
        <v>7</v>
      </c>
      <c r="K64" s="0">
        <v>2</v>
      </c>
      <c r="L64" s="0">
        <v>1</v>
      </c>
    </row>
    <row r="65" ht="14.25">
      <c r="A65" s="0">
        <v>17</v>
      </c>
      <c r="B65" t="s" s="0">
        <v>44</v>
      </c>
      <c r="C65" s="0">
        <v>2.5</v>
      </c>
      <c r="D65" t="s" s="0">
        <v>29</v>
      </c>
      <c r="E65" s="0">
        <v>6.7</v>
      </c>
      <c r="F65" s="0">
        <v>2</v>
      </c>
      <c r="G65" s="0">
        <v>2.56</v>
      </c>
      <c r="H65" s="0">
        <v>1.7</v>
      </c>
      <c r="I65" t="s" s="0">
        <v>30</v>
      </c>
      <c r="J65" s="0">
        <v>5</v>
      </c>
      <c r="K65" s="0">
        <v>7</v>
      </c>
      <c r="L65" s="0">
        <v>5</v>
      </c>
    </row>
    <row r="66" ht="14.25">
      <c r="A66" s="0">
        <v>19</v>
      </c>
      <c r="B66" t="s" s="0">
        <v>36</v>
      </c>
      <c r="C66" s="0">
        <v>7.9</v>
      </c>
      <c r="D66" t="s" s="0">
        <v>32</v>
      </c>
      <c r="E66" s="0">
        <v>5.1</v>
      </c>
      <c r="F66" s="0">
        <v>1.7</v>
      </c>
      <c r="G66" s="0">
        <v>2.8</v>
      </c>
      <c r="H66" s="0">
        <v>0.8</v>
      </c>
      <c r="I66" t="s" s="0">
        <v>39</v>
      </c>
      <c r="J66" s="0">
        <v>6</v>
      </c>
      <c r="K66" s="0">
        <v>1</v>
      </c>
      <c r="L66" s="0">
        <v>8</v>
      </c>
    </row>
    <row r="67" ht="14.25">
      <c r="A67" s="0">
        <v>17</v>
      </c>
      <c r="B67" t="s" s="0">
        <v>44</v>
      </c>
      <c r="C67" s="0">
        <v>2.7</v>
      </c>
      <c r="D67" t="s" s="0">
        <v>43</v>
      </c>
      <c r="E67" s="0">
        <v>8</v>
      </c>
      <c r="F67" s="0">
        <v>2.6</v>
      </c>
      <c r="G67" s="0">
        <v>3.53</v>
      </c>
      <c r="H67" s="0">
        <v>1.9</v>
      </c>
      <c r="I67" t="s" s="0">
        <v>30</v>
      </c>
      <c r="J67" s="0">
        <v>1</v>
      </c>
      <c r="K67" s="0">
        <v>8</v>
      </c>
      <c r="L67" s="0">
        <v>7</v>
      </c>
    </row>
    <row r="68" ht="14.25">
      <c r="A68" s="0">
        <v>13</v>
      </c>
      <c r="B68" t="s" s="0">
        <v>44</v>
      </c>
      <c r="C68" s="0">
        <v>3.1</v>
      </c>
      <c r="D68" t="s" s="0">
        <v>32</v>
      </c>
      <c r="E68" s="0">
        <v>8.2</v>
      </c>
      <c r="F68" s="0">
        <v>1.5</v>
      </c>
      <c r="G68" s="0">
        <v>2.45</v>
      </c>
      <c r="H68" s="0">
        <v>0.3</v>
      </c>
      <c r="I68" t="s" s="0">
        <v>39</v>
      </c>
      <c r="J68" s="0">
        <v>5</v>
      </c>
      <c r="K68" s="0">
        <v>8</v>
      </c>
      <c r="L68" s="0">
        <v>6</v>
      </c>
    </row>
    <row r="69" ht="14.25">
      <c r="A69" s="0">
        <v>17</v>
      </c>
      <c r="B69" t="s" s="0">
        <v>44</v>
      </c>
      <c r="C69" s="0">
        <v>5.8</v>
      </c>
      <c r="D69" t="s" s="0">
        <v>29</v>
      </c>
      <c r="E69" s="0">
        <v>7.6</v>
      </c>
      <c r="F69" s="0">
        <v>0.7</v>
      </c>
      <c r="G69" s="0">
        <v>2.83</v>
      </c>
      <c r="H69" s="0">
        <v>1</v>
      </c>
      <c r="I69" t="s" s="0">
        <v>42</v>
      </c>
      <c r="J69" s="0">
        <v>7</v>
      </c>
      <c r="K69" s="0">
        <v>6</v>
      </c>
      <c r="L69" s="0">
        <v>8</v>
      </c>
    </row>
    <row r="70" ht="14.25">
      <c r="A70" s="0">
        <v>14</v>
      </c>
      <c r="B70" t="s" s="0">
        <v>36</v>
      </c>
      <c r="C70" s="0">
        <v>3.9</v>
      </c>
      <c r="D70" t="s" s="0">
        <v>29</v>
      </c>
      <c r="E70" s="0">
        <v>7</v>
      </c>
      <c r="F70" s="0">
        <v>2.8</v>
      </c>
      <c r="G70" s="0">
        <v>2.8</v>
      </c>
      <c r="H70" s="0">
        <v>0.1</v>
      </c>
      <c r="I70" t="s" s="0">
        <v>39</v>
      </c>
      <c r="J70" s="0">
        <v>8</v>
      </c>
      <c r="K70" s="0">
        <v>2</v>
      </c>
      <c r="L70" s="0">
        <v>8</v>
      </c>
    </row>
    <row r="71" ht="14.25">
      <c r="A71" s="0">
        <v>15</v>
      </c>
      <c r="B71" t="s" s="0">
        <v>44</v>
      </c>
      <c r="C71" s="0">
        <v>7.5</v>
      </c>
      <c r="D71" t="s" s="0">
        <v>29</v>
      </c>
      <c r="E71" s="0">
        <v>7</v>
      </c>
      <c r="F71" s="0">
        <v>0.9</v>
      </c>
      <c r="G71" s="0">
        <v>3.48</v>
      </c>
      <c r="H71" s="0">
        <v>1.1</v>
      </c>
      <c r="I71" t="s" s="0">
        <v>30</v>
      </c>
      <c r="J71" s="0">
        <v>2</v>
      </c>
      <c r="K71" s="0">
        <v>2</v>
      </c>
      <c r="L71" s="0">
        <v>6</v>
      </c>
    </row>
    <row r="72" ht="14.25">
      <c r="A72" s="0">
        <v>14</v>
      </c>
      <c r="B72" t="s" s="0">
        <v>44</v>
      </c>
      <c r="C72" s="0">
        <v>5.2</v>
      </c>
      <c r="D72" t="s" s="0">
        <v>29</v>
      </c>
      <c r="E72" s="0">
        <v>6.7</v>
      </c>
      <c r="F72" s="0">
        <v>2</v>
      </c>
      <c r="G72" s="0">
        <v>3.48</v>
      </c>
      <c r="H72" s="0">
        <v>1</v>
      </c>
      <c r="I72" t="s" s="0">
        <v>42</v>
      </c>
      <c r="J72" s="0">
        <v>2</v>
      </c>
      <c r="K72" s="0">
        <v>1</v>
      </c>
      <c r="L72" s="0">
        <v>5</v>
      </c>
    </row>
    <row r="73" ht="14.25">
      <c r="A73" s="0">
        <v>16</v>
      </c>
      <c r="B73" t="s" s="0">
        <v>36</v>
      </c>
      <c r="C73" s="0">
        <v>3.1</v>
      </c>
      <c r="D73" t="s" s="0">
        <v>32</v>
      </c>
      <c r="E73" s="0">
        <v>5</v>
      </c>
      <c r="F73" s="0">
        <v>1.1</v>
      </c>
      <c r="G73" s="0">
        <v>2.73</v>
      </c>
      <c r="H73" s="0">
        <v>1.6</v>
      </c>
      <c r="I73" t="s" s="0">
        <v>39</v>
      </c>
      <c r="J73" s="0">
        <v>2</v>
      </c>
      <c r="K73" s="0">
        <v>8</v>
      </c>
      <c r="L73" s="0">
        <v>1</v>
      </c>
    </row>
    <row r="74" ht="14.25">
      <c r="A74" s="0">
        <v>16</v>
      </c>
      <c r="B74" t="s" s="0">
        <v>36</v>
      </c>
      <c r="C74" s="0">
        <v>2</v>
      </c>
      <c r="D74" t="s" s="0">
        <v>43</v>
      </c>
      <c r="E74" s="0">
        <v>8.7</v>
      </c>
      <c r="F74" s="0">
        <v>1.2</v>
      </c>
      <c r="G74" s="0">
        <v>3</v>
      </c>
      <c r="H74" s="0">
        <v>0</v>
      </c>
      <c r="I74" t="s" s="0">
        <v>39</v>
      </c>
      <c r="J74" s="0">
        <v>8</v>
      </c>
      <c r="K74" s="0">
        <v>8</v>
      </c>
      <c r="L74" s="0">
        <v>4</v>
      </c>
    </row>
    <row r="75" ht="14.25">
      <c r="A75" s="0">
        <v>14</v>
      </c>
      <c r="B75" t="s" s="0">
        <v>44</v>
      </c>
      <c r="C75" s="0">
        <v>2.7</v>
      </c>
      <c r="D75" t="s" s="0">
        <v>43</v>
      </c>
      <c r="E75" s="0">
        <v>8.4</v>
      </c>
      <c r="F75" s="0">
        <v>1.3</v>
      </c>
      <c r="G75" s="0">
        <v>2.01</v>
      </c>
      <c r="H75" s="0">
        <v>0.6</v>
      </c>
      <c r="I75" t="s" s="0">
        <v>39</v>
      </c>
      <c r="J75" s="0">
        <v>6</v>
      </c>
      <c r="K75" s="0">
        <v>3</v>
      </c>
      <c r="L75" s="0">
        <v>8</v>
      </c>
    </row>
    <row r="76" ht="14.25">
      <c r="A76" s="0">
        <v>14</v>
      </c>
      <c r="B76" t="s" s="0">
        <v>44</v>
      </c>
      <c r="C76" s="0">
        <v>1.5</v>
      </c>
      <c r="D76" t="s" s="0">
        <v>29</v>
      </c>
      <c r="E76" s="0">
        <v>4.3</v>
      </c>
      <c r="F76" s="0">
        <v>2.1</v>
      </c>
      <c r="G76" s="0">
        <v>3.9</v>
      </c>
      <c r="H76" s="0">
        <v>1.5</v>
      </c>
      <c r="I76" t="s" s="0">
        <v>39</v>
      </c>
      <c r="J76" s="0">
        <v>10</v>
      </c>
      <c r="K76" s="0">
        <v>2</v>
      </c>
      <c r="L76" s="0">
        <v>4</v>
      </c>
    </row>
    <row r="77" ht="14.25">
      <c r="A77" s="0">
        <v>17</v>
      </c>
      <c r="B77" t="s" s="0">
        <v>36</v>
      </c>
      <c r="C77" s="0">
        <v>6.9</v>
      </c>
      <c r="D77" t="s" s="0">
        <v>43</v>
      </c>
      <c r="E77" s="0">
        <v>8.2</v>
      </c>
      <c r="F77" s="0">
        <v>0.8</v>
      </c>
      <c r="G77" s="0">
        <v>2.36</v>
      </c>
      <c r="H77" s="0">
        <v>0</v>
      </c>
      <c r="I77" t="s" s="0">
        <v>42</v>
      </c>
      <c r="J77" s="0">
        <v>10</v>
      </c>
      <c r="K77" s="0">
        <v>10</v>
      </c>
      <c r="L77" s="0">
        <v>7</v>
      </c>
    </row>
    <row r="78" ht="14.25">
      <c r="A78" s="0">
        <v>13</v>
      </c>
      <c r="B78" t="s" s="0">
        <v>44</v>
      </c>
      <c r="C78" s="0">
        <v>1.1</v>
      </c>
      <c r="D78" t="s" s="0">
        <v>32</v>
      </c>
      <c r="E78" s="0">
        <v>7.1</v>
      </c>
      <c r="F78" s="0">
        <v>1.8</v>
      </c>
      <c r="G78" s="0">
        <v>2.55</v>
      </c>
      <c r="H78" s="0">
        <v>0.8</v>
      </c>
      <c r="I78" t="s" s="0">
        <v>30</v>
      </c>
      <c r="J78" s="0">
        <v>5</v>
      </c>
      <c r="K78" s="0">
        <v>5</v>
      </c>
      <c r="L78" s="0">
        <v>10</v>
      </c>
    </row>
    <row r="79" ht="14.25">
      <c r="A79" s="0">
        <v>13</v>
      </c>
      <c r="B79" t="s" s="0">
        <v>44</v>
      </c>
      <c r="C79" s="0">
        <v>3.4</v>
      </c>
      <c r="D79" t="s" s="0">
        <v>32</v>
      </c>
      <c r="E79" s="0">
        <v>4.4</v>
      </c>
      <c r="F79" s="0">
        <v>0.6</v>
      </c>
      <c r="G79" s="0">
        <v>3.41</v>
      </c>
      <c r="H79" s="0">
        <v>0.2</v>
      </c>
      <c r="I79" t="s" s="0">
        <v>39</v>
      </c>
      <c r="J79" s="0">
        <v>8</v>
      </c>
      <c r="K79" s="0">
        <v>6</v>
      </c>
      <c r="L79" s="0">
        <v>3</v>
      </c>
    </row>
    <row r="80" ht="14.25">
      <c r="A80" s="0">
        <v>15</v>
      </c>
      <c r="B80" t="s" s="0">
        <v>44</v>
      </c>
      <c r="C80" s="0">
        <v>6.7</v>
      </c>
      <c r="D80" t="s" s="0">
        <v>29</v>
      </c>
      <c r="E80" s="0">
        <v>4.5</v>
      </c>
      <c r="F80" s="0">
        <v>2.1</v>
      </c>
      <c r="G80" s="0">
        <v>3.71</v>
      </c>
      <c r="H80" s="0">
        <v>1.3</v>
      </c>
      <c r="I80" t="s" s="0">
        <v>30</v>
      </c>
      <c r="J80" s="0">
        <v>3</v>
      </c>
      <c r="K80" s="0">
        <v>3</v>
      </c>
      <c r="L80" s="0">
        <v>3</v>
      </c>
    </row>
    <row r="81" ht="14.25">
      <c r="A81" s="0">
        <v>18</v>
      </c>
      <c r="B81" t="s" s="0">
        <v>44</v>
      </c>
      <c r="C81" s="0">
        <v>1.1</v>
      </c>
      <c r="D81" t="s" s="0">
        <v>29</v>
      </c>
      <c r="E81" s="0">
        <v>7.2</v>
      </c>
      <c r="F81" s="0">
        <v>1</v>
      </c>
      <c r="G81" s="0">
        <v>3.13</v>
      </c>
      <c r="H81" s="0">
        <v>0.6</v>
      </c>
      <c r="I81" t="s" s="0">
        <v>42</v>
      </c>
      <c r="J81" s="0">
        <v>2</v>
      </c>
      <c r="K81" s="0">
        <v>1</v>
      </c>
      <c r="L81" s="0">
        <v>4</v>
      </c>
    </row>
    <row r="82" ht="14.25">
      <c r="A82" s="0">
        <v>18</v>
      </c>
      <c r="B82" t="s" s="0">
        <v>36</v>
      </c>
      <c r="C82" s="0">
        <v>7.4</v>
      </c>
      <c r="D82" t="s" s="0">
        <v>43</v>
      </c>
      <c r="E82" s="0">
        <v>7.5</v>
      </c>
      <c r="F82" s="0">
        <v>2.3</v>
      </c>
      <c r="G82" s="0">
        <v>2.39</v>
      </c>
      <c r="H82" s="0">
        <v>0.9</v>
      </c>
      <c r="I82" t="s" s="0">
        <v>30</v>
      </c>
      <c r="J82" s="0">
        <v>4</v>
      </c>
      <c r="K82" s="0">
        <v>1</v>
      </c>
      <c r="L82" s="0">
        <v>4</v>
      </c>
    </row>
    <row r="83" ht="14.25">
      <c r="A83" s="0">
        <v>19</v>
      </c>
      <c r="B83" t="s" s="0">
        <v>36</v>
      </c>
      <c r="C83" s="0">
        <v>4.8</v>
      </c>
      <c r="D83" t="s" s="0">
        <v>32</v>
      </c>
      <c r="E83" s="0">
        <v>6</v>
      </c>
      <c r="F83" s="0">
        <v>1.5</v>
      </c>
      <c r="G83" s="0">
        <v>2.61</v>
      </c>
      <c r="H83" s="0">
        <v>1.2</v>
      </c>
      <c r="I83" t="s" s="0">
        <v>30</v>
      </c>
      <c r="J83" s="0">
        <v>2</v>
      </c>
      <c r="K83" s="0">
        <v>2</v>
      </c>
      <c r="L83" s="0">
        <v>6</v>
      </c>
    </row>
    <row r="84" ht="14.25">
      <c r="A84" s="0">
        <v>14</v>
      </c>
      <c r="B84" t="s" s="0">
        <v>44</v>
      </c>
      <c r="C84" s="0">
        <v>1.2</v>
      </c>
      <c r="D84" t="s" s="0">
        <v>29</v>
      </c>
      <c r="E84" s="0">
        <v>5.2</v>
      </c>
      <c r="F84" s="0">
        <v>2.2</v>
      </c>
      <c r="G84" s="0">
        <v>2.19</v>
      </c>
      <c r="H84" s="0">
        <v>1.9</v>
      </c>
      <c r="I84" t="s" s="0">
        <v>42</v>
      </c>
      <c r="J84" s="0">
        <v>9</v>
      </c>
      <c r="K84" s="0">
        <v>9</v>
      </c>
      <c r="L84" s="0">
        <v>4</v>
      </c>
    </row>
    <row r="85" ht="14.25">
      <c r="A85" s="0">
        <v>13</v>
      </c>
      <c r="B85" t="s" s="0">
        <v>44</v>
      </c>
      <c r="C85" s="0">
        <v>7.4</v>
      </c>
      <c r="D85" t="s" s="0">
        <v>43</v>
      </c>
      <c r="E85" s="0">
        <v>5.6</v>
      </c>
      <c r="F85" s="0">
        <v>1.4</v>
      </c>
      <c r="G85" s="0">
        <v>2.95</v>
      </c>
      <c r="H85" s="0">
        <v>1.7</v>
      </c>
      <c r="I85" t="s" s="0">
        <v>30</v>
      </c>
      <c r="J85" s="0">
        <v>8</v>
      </c>
      <c r="K85" s="0">
        <v>5</v>
      </c>
      <c r="L85" s="0">
        <v>5</v>
      </c>
    </row>
    <row r="86" ht="14.25">
      <c r="A86" s="0">
        <v>16</v>
      </c>
      <c r="B86" t="s" s="0">
        <v>36</v>
      </c>
      <c r="C86" s="0">
        <v>2.6</v>
      </c>
      <c r="D86" t="s" s="0">
        <v>29</v>
      </c>
      <c r="E86" s="0">
        <v>8.6</v>
      </c>
      <c r="F86" s="0">
        <v>1.3</v>
      </c>
      <c r="G86" s="0">
        <v>3.64</v>
      </c>
      <c r="H86" s="0">
        <v>1.6</v>
      </c>
      <c r="I86" t="s" s="0">
        <v>30</v>
      </c>
      <c r="J86" s="0">
        <v>5</v>
      </c>
      <c r="K86" s="0">
        <v>3</v>
      </c>
      <c r="L86" s="0">
        <v>1</v>
      </c>
    </row>
    <row r="87" ht="14.25">
      <c r="A87" s="0">
        <v>17</v>
      </c>
      <c r="B87" t="s" s="0">
        <v>36</v>
      </c>
      <c r="C87" s="0">
        <v>5</v>
      </c>
      <c r="D87" t="s" s="0">
        <v>29</v>
      </c>
      <c r="E87" s="0">
        <v>9</v>
      </c>
      <c r="F87" s="0">
        <v>2.5</v>
      </c>
      <c r="G87" s="0">
        <v>3.4</v>
      </c>
      <c r="H87" s="0">
        <v>0.9</v>
      </c>
      <c r="I87" t="s" s="0">
        <v>30</v>
      </c>
      <c r="J87" s="0">
        <v>8</v>
      </c>
      <c r="K87" s="0">
        <v>10</v>
      </c>
      <c r="L87" s="0">
        <v>5</v>
      </c>
    </row>
    <row r="88" ht="14.25">
      <c r="A88" s="0">
        <v>18</v>
      </c>
      <c r="B88" t="s" s="0">
        <v>44</v>
      </c>
      <c r="C88" s="0">
        <v>7.5</v>
      </c>
      <c r="D88" t="s" s="0">
        <v>43</v>
      </c>
      <c r="E88" s="0">
        <v>7.4</v>
      </c>
      <c r="F88" s="0">
        <v>1.8</v>
      </c>
      <c r="G88" s="0">
        <v>3.47</v>
      </c>
      <c r="H88" s="0">
        <v>0</v>
      </c>
      <c r="I88" t="s" s="0">
        <v>39</v>
      </c>
      <c r="J88" s="0">
        <v>9</v>
      </c>
      <c r="K88" s="0">
        <v>4</v>
      </c>
      <c r="L88" s="0">
        <v>2</v>
      </c>
    </row>
    <row r="89" ht="14.25">
      <c r="A89" s="0">
        <v>17</v>
      </c>
      <c r="B89" t="s" s="0">
        <v>36</v>
      </c>
      <c r="C89" s="0">
        <v>5.4</v>
      </c>
      <c r="D89" t="s" s="0">
        <v>29</v>
      </c>
      <c r="E89" s="0">
        <v>5.7</v>
      </c>
      <c r="F89" s="0">
        <v>2.5</v>
      </c>
      <c r="G89" s="0">
        <v>3.13</v>
      </c>
      <c r="H89" s="0">
        <v>1.9</v>
      </c>
      <c r="I89" t="s" s="0">
        <v>42</v>
      </c>
      <c r="J89" s="0">
        <v>5</v>
      </c>
      <c r="K89" s="0">
        <v>10</v>
      </c>
      <c r="L89" s="0">
        <v>3</v>
      </c>
    </row>
    <row r="90" ht="14.25">
      <c r="A90" s="0">
        <v>17</v>
      </c>
      <c r="B90" t="s" s="0">
        <v>36</v>
      </c>
      <c r="C90" s="0">
        <v>5.6</v>
      </c>
      <c r="D90" t="s" s="0">
        <v>43</v>
      </c>
      <c r="E90" s="0">
        <v>5.3</v>
      </c>
      <c r="F90" s="0">
        <v>1.7</v>
      </c>
      <c r="G90" s="0">
        <v>2.77</v>
      </c>
      <c r="H90" s="0">
        <v>0.9</v>
      </c>
      <c r="I90" t="s" s="0">
        <v>42</v>
      </c>
      <c r="J90" s="0">
        <v>8</v>
      </c>
      <c r="K90" s="0">
        <v>4</v>
      </c>
      <c r="L90" s="0">
        <v>8</v>
      </c>
    </row>
    <row r="91" ht="14.25">
      <c r="A91" s="0">
        <v>18</v>
      </c>
      <c r="B91" t="s" s="0">
        <v>44</v>
      </c>
      <c r="C91" s="0">
        <v>6.2</v>
      </c>
      <c r="D91" t="s" s="0">
        <v>43</v>
      </c>
      <c r="E91" s="0">
        <v>4.1</v>
      </c>
      <c r="F91" s="0">
        <v>2.8</v>
      </c>
      <c r="G91" s="0">
        <v>3.41</v>
      </c>
      <c r="H91" s="0">
        <v>1.1</v>
      </c>
      <c r="I91" t="s" s="0">
        <v>42</v>
      </c>
      <c r="J91" s="0">
        <v>7</v>
      </c>
      <c r="K91" s="0">
        <v>8</v>
      </c>
      <c r="L91" s="0">
        <v>1</v>
      </c>
    </row>
    <row r="92" ht="14.25">
      <c r="A92" s="0">
        <v>17</v>
      </c>
      <c r="B92" t="s" s="0">
        <v>36</v>
      </c>
      <c r="C92" s="0">
        <v>4.7</v>
      </c>
      <c r="D92" t="s" s="0">
        <v>43</v>
      </c>
      <c r="E92" s="0">
        <v>4.7</v>
      </c>
      <c r="F92" s="0">
        <v>2.4</v>
      </c>
      <c r="G92" s="0">
        <v>3.94</v>
      </c>
      <c r="H92" s="0">
        <v>0</v>
      </c>
      <c r="I92" t="s" s="0">
        <v>42</v>
      </c>
      <c r="J92" s="0">
        <v>10</v>
      </c>
      <c r="K92" s="0">
        <v>5</v>
      </c>
      <c r="L92" s="0">
        <v>8</v>
      </c>
    </row>
    <row r="93" ht="14.25">
      <c r="A93" s="0">
        <v>18</v>
      </c>
      <c r="B93" t="s" s="0">
        <v>36</v>
      </c>
      <c r="C93" s="0">
        <v>4</v>
      </c>
      <c r="D93" t="s" s="0">
        <v>43</v>
      </c>
      <c r="E93" s="0">
        <v>4.6</v>
      </c>
      <c r="F93" s="0">
        <v>2.2</v>
      </c>
      <c r="G93" s="0">
        <v>3.7</v>
      </c>
      <c r="H93" s="0">
        <v>0.6</v>
      </c>
      <c r="I93" t="s" s="0">
        <v>42</v>
      </c>
      <c r="J93" s="0">
        <v>4</v>
      </c>
      <c r="K93" s="0">
        <v>1</v>
      </c>
      <c r="L93" s="0">
        <v>4</v>
      </c>
    </row>
    <row r="94" ht="14.25">
      <c r="A94" s="0">
        <v>18</v>
      </c>
      <c r="B94" t="s" s="0">
        <v>44</v>
      </c>
      <c r="C94" s="0">
        <v>6.2</v>
      </c>
      <c r="D94" t="s" s="0">
        <v>32</v>
      </c>
      <c r="E94" s="0">
        <v>8.6</v>
      </c>
      <c r="F94" s="0">
        <v>1.5</v>
      </c>
      <c r="G94" s="0">
        <v>3.22</v>
      </c>
      <c r="H94" s="0">
        <v>1.6</v>
      </c>
      <c r="I94" t="s" s="0">
        <v>39</v>
      </c>
      <c r="J94" s="0">
        <v>4</v>
      </c>
      <c r="K94" s="0">
        <v>5</v>
      </c>
      <c r="L94" s="0">
        <v>7</v>
      </c>
    </row>
    <row r="95" ht="14.25">
      <c r="A95" s="0">
        <v>17</v>
      </c>
      <c r="B95" t="s" s="0">
        <v>36</v>
      </c>
      <c r="C95" s="0">
        <v>5.6</v>
      </c>
      <c r="D95" t="s" s="0">
        <v>32</v>
      </c>
      <c r="E95" s="0">
        <v>6.8</v>
      </c>
      <c r="F95" s="0">
        <v>2</v>
      </c>
      <c r="G95" s="0">
        <v>2.22</v>
      </c>
      <c r="H95" s="0">
        <v>1</v>
      </c>
      <c r="I95" t="s" s="0">
        <v>42</v>
      </c>
      <c r="J95" s="0">
        <v>6</v>
      </c>
      <c r="K95" s="0">
        <v>9</v>
      </c>
      <c r="L95" s="0">
        <v>8</v>
      </c>
    </row>
    <row r="96" ht="14.25">
      <c r="A96" s="0">
        <v>13</v>
      </c>
      <c r="B96" t="s" s="0">
        <v>36</v>
      </c>
      <c r="C96" s="0">
        <v>4</v>
      </c>
      <c r="D96" t="s" s="0">
        <v>43</v>
      </c>
      <c r="E96" s="0">
        <v>4.4</v>
      </c>
      <c r="F96" s="0">
        <v>2.5</v>
      </c>
      <c r="G96" s="0">
        <v>3.6</v>
      </c>
      <c r="H96" s="0">
        <v>1.4</v>
      </c>
      <c r="I96" t="s" s="0">
        <v>42</v>
      </c>
      <c r="J96" s="0">
        <v>7</v>
      </c>
      <c r="K96" s="0">
        <v>2</v>
      </c>
      <c r="L96" s="0">
        <v>10</v>
      </c>
    </row>
    <row r="97" ht="14.25">
      <c r="A97" s="0">
        <v>15</v>
      </c>
      <c r="B97" t="s" s="0">
        <v>36</v>
      </c>
      <c r="C97" s="0">
        <v>1.8</v>
      </c>
      <c r="D97" t="s" s="0">
        <v>43</v>
      </c>
      <c r="E97" s="0">
        <v>6.4</v>
      </c>
      <c r="F97" s="0">
        <v>2.4</v>
      </c>
      <c r="G97" s="0">
        <v>2.16</v>
      </c>
      <c r="H97" s="0">
        <v>1.9</v>
      </c>
      <c r="I97" t="s" s="0">
        <v>42</v>
      </c>
      <c r="J97" s="0">
        <v>3</v>
      </c>
      <c r="K97" s="0">
        <v>6</v>
      </c>
      <c r="L97" s="0">
        <v>9</v>
      </c>
    </row>
    <row r="98" ht="14.25">
      <c r="A98" s="0">
        <v>13</v>
      </c>
      <c r="B98" t="s" s="0">
        <v>44</v>
      </c>
      <c r="C98" s="0">
        <v>3.1</v>
      </c>
      <c r="D98" t="s" s="0">
        <v>32</v>
      </c>
      <c r="E98" s="0">
        <v>5.4</v>
      </c>
      <c r="F98" s="0">
        <v>1.9</v>
      </c>
      <c r="G98" s="0">
        <v>3.66</v>
      </c>
      <c r="H98" s="0">
        <v>0.4</v>
      </c>
      <c r="I98" t="s" s="0">
        <v>39</v>
      </c>
      <c r="J98" s="0">
        <v>7</v>
      </c>
      <c r="K98" s="0">
        <v>4</v>
      </c>
      <c r="L98" s="0">
        <v>2</v>
      </c>
    </row>
    <row r="99" ht="14.25">
      <c r="A99" s="0">
        <v>13</v>
      </c>
      <c r="B99" t="s" s="0">
        <v>36</v>
      </c>
      <c r="C99" s="0">
        <v>3.5</v>
      </c>
      <c r="D99" t="s" s="0">
        <v>32</v>
      </c>
      <c r="E99" s="0">
        <v>5.2</v>
      </c>
      <c r="F99" s="0">
        <v>2.5</v>
      </c>
      <c r="G99" s="0">
        <v>2.57</v>
      </c>
      <c r="H99" s="0">
        <v>1.1</v>
      </c>
      <c r="I99" t="s" s="0">
        <v>30</v>
      </c>
      <c r="J99" s="0">
        <v>1</v>
      </c>
      <c r="K99" s="0">
        <v>6</v>
      </c>
      <c r="L99" s="0">
        <v>3</v>
      </c>
    </row>
    <row r="100" ht="14.25">
      <c r="A100" s="0">
        <v>18</v>
      </c>
      <c r="B100" t="s" s="0">
        <v>44</v>
      </c>
      <c r="C100" s="0">
        <v>7.4</v>
      </c>
      <c r="D100" t="s" s="0">
        <v>32</v>
      </c>
      <c r="E100" s="0">
        <v>6.4</v>
      </c>
      <c r="F100" s="0">
        <v>2.2</v>
      </c>
      <c r="G100" s="0">
        <v>3.51</v>
      </c>
      <c r="H100" s="0">
        <v>1</v>
      </c>
      <c r="I100" t="s" s="0">
        <v>30</v>
      </c>
      <c r="J100" s="0">
        <v>4</v>
      </c>
      <c r="K100" s="0">
        <v>5</v>
      </c>
      <c r="L100" s="0">
        <v>4</v>
      </c>
    </row>
    <row r="101" ht="14.25">
      <c r="A101" s="0">
        <v>16</v>
      </c>
      <c r="B101" t="s" s="0">
        <v>44</v>
      </c>
      <c r="C101" s="0">
        <v>8</v>
      </c>
      <c r="D101" t="s" s="0">
        <v>43</v>
      </c>
      <c r="E101" s="0">
        <v>5.5</v>
      </c>
      <c r="F101" s="0">
        <v>1.4</v>
      </c>
      <c r="G101" s="0">
        <v>2.95</v>
      </c>
      <c r="H101" s="0">
        <v>0.3</v>
      </c>
      <c r="I101" t="s" s="0">
        <v>42</v>
      </c>
      <c r="J101" s="0">
        <v>2</v>
      </c>
      <c r="K101" s="0">
        <v>5</v>
      </c>
      <c r="L101" s="0">
        <v>2</v>
      </c>
    </row>
    <row r="102" ht="14.25">
      <c r="A102" s="0">
        <v>13</v>
      </c>
      <c r="B102" t="s" s="0">
        <v>44</v>
      </c>
      <c r="C102" s="0">
        <v>5.1</v>
      </c>
      <c r="D102" t="s" s="0">
        <v>29</v>
      </c>
      <c r="E102" s="0">
        <v>4.1</v>
      </c>
      <c r="F102" s="0">
        <v>1.6</v>
      </c>
      <c r="G102" s="0">
        <v>3.32</v>
      </c>
      <c r="H102" s="0">
        <v>0.8</v>
      </c>
      <c r="I102" t="s" s="0">
        <v>42</v>
      </c>
      <c r="J102" s="0">
        <v>1</v>
      </c>
      <c r="K102" s="0">
        <v>3</v>
      </c>
      <c r="L102" s="0">
        <v>8</v>
      </c>
    </row>
    <row r="103" ht="14.25">
      <c r="A103" s="0">
        <v>18</v>
      </c>
      <c r="B103" t="s" s="0">
        <v>36</v>
      </c>
      <c r="C103" s="0">
        <v>2.4</v>
      </c>
      <c r="D103" t="s" s="0">
        <v>43</v>
      </c>
      <c r="E103" s="0">
        <v>6.3</v>
      </c>
      <c r="F103" s="0">
        <v>1.3</v>
      </c>
      <c r="G103" s="0">
        <v>3.05</v>
      </c>
      <c r="H103" s="0">
        <v>1.7</v>
      </c>
      <c r="I103" t="s" s="0">
        <v>39</v>
      </c>
      <c r="J103" s="0">
        <v>2</v>
      </c>
      <c r="K103" s="0">
        <v>9</v>
      </c>
      <c r="L103" s="0">
        <v>5</v>
      </c>
    </row>
    <row r="104" ht="14.25">
      <c r="A104" s="0">
        <v>13</v>
      </c>
      <c r="B104" t="s" s="0">
        <v>44</v>
      </c>
      <c r="C104" s="0">
        <v>1.6</v>
      </c>
      <c r="D104" t="s" s="0">
        <v>43</v>
      </c>
      <c r="E104" s="0">
        <v>4.2</v>
      </c>
      <c r="F104" s="0">
        <v>1.5</v>
      </c>
      <c r="G104" s="0">
        <v>3.72</v>
      </c>
      <c r="H104" s="0">
        <v>1.7</v>
      </c>
      <c r="I104" t="s" s="0">
        <v>42</v>
      </c>
      <c r="J104" s="0">
        <v>10</v>
      </c>
      <c r="K104" s="0">
        <v>1</v>
      </c>
      <c r="L104" s="0">
        <v>10</v>
      </c>
    </row>
    <row r="105" ht="14.25">
      <c r="A105" s="0">
        <v>18</v>
      </c>
      <c r="B105" t="s" s="0">
        <v>44</v>
      </c>
      <c r="C105" s="0">
        <v>5.8</v>
      </c>
      <c r="D105" t="s" s="0">
        <v>43</v>
      </c>
      <c r="E105" s="0">
        <v>6.7</v>
      </c>
      <c r="F105" s="0">
        <v>1.9</v>
      </c>
      <c r="G105" s="0">
        <v>3</v>
      </c>
      <c r="H105" s="0">
        <v>1.9</v>
      </c>
      <c r="I105" t="s" s="0">
        <v>39</v>
      </c>
      <c r="J105" s="0">
        <v>5</v>
      </c>
      <c r="K105" s="0">
        <v>8</v>
      </c>
      <c r="L105" s="0">
        <v>2</v>
      </c>
    </row>
    <row r="106" ht="14.25">
      <c r="A106" s="0">
        <v>15</v>
      </c>
      <c r="B106" t="s" s="0">
        <v>44</v>
      </c>
      <c r="C106" s="0">
        <v>2.7</v>
      </c>
      <c r="D106" t="s" s="0">
        <v>32</v>
      </c>
      <c r="E106" s="0">
        <v>6.6</v>
      </c>
      <c r="F106" s="0">
        <v>1.9</v>
      </c>
      <c r="G106" s="0">
        <v>2.75</v>
      </c>
      <c r="H106" s="0">
        <v>1.9</v>
      </c>
      <c r="I106" t="s" s="0">
        <v>42</v>
      </c>
      <c r="J106" s="0">
        <v>3</v>
      </c>
      <c r="K106" s="0">
        <v>6</v>
      </c>
      <c r="L106" s="0">
        <v>6</v>
      </c>
    </row>
    <row r="107" ht="14.25">
      <c r="A107" s="0">
        <v>13</v>
      </c>
      <c r="B107" t="s" s="0">
        <v>36</v>
      </c>
      <c r="C107" s="0">
        <v>4</v>
      </c>
      <c r="D107" t="s" s="0">
        <v>29</v>
      </c>
      <c r="E107" s="0">
        <v>4.5</v>
      </c>
      <c r="F107" s="0">
        <v>1</v>
      </c>
      <c r="G107" s="0">
        <v>3.65</v>
      </c>
      <c r="H107" s="0">
        <v>1.8</v>
      </c>
      <c r="I107" t="s" s="0">
        <v>39</v>
      </c>
      <c r="J107" s="0">
        <v>5</v>
      </c>
      <c r="K107" s="0">
        <v>6</v>
      </c>
      <c r="L107" s="0">
        <v>5</v>
      </c>
    </row>
    <row r="108" ht="14.25">
      <c r="A108" s="0">
        <v>18</v>
      </c>
      <c r="B108" t="s" s="0">
        <v>44</v>
      </c>
      <c r="C108" s="0">
        <v>3.2</v>
      </c>
      <c r="D108" t="s" s="0">
        <v>29</v>
      </c>
      <c r="E108" s="0">
        <v>8.8</v>
      </c>
      <c r="F108" s="0">
        <v>1.2</v>
      </c>
      <c r="G108" s="0">
        <v>3.71</v>
      </c>
      <c r="H108" s="0">
        <v>1.1</v>
      </c>
      <c r="I108" t="s" s="0">
        <v>42</v>
      </c>
      <c r="J108" s="0">
        <v>7</v>
      </c>
      <c r="K108" s="0">
        <v>6</v>
      </c>
      <c r="L108" s="0">
        <v>10</v>
      </c>
    </row>
    <row r="109" ht="14.25">
      <c r="A109" s="0">
        <v>13</v>
      </c>
      <c r="B109" t="s" s="0">
        <v>44</v>
      </c>
      <c r="C109" s="0">
        <v>1.6</v>
      </c>
      <c r="D109" t="s" s="0">
        <v>32</v>
      </c>
      <c r="E109" s="0">
        <v>4.3</v>
      </c>
      <c r="F109" s="0">
        <v>0.6</v>
      </c>
      <c r="G109" s="0">
        <v>3.91</v>
      </c>
      <c r="H109" s="0">
        <v>2</v>
      </c>
      <c r="I109" t="s" s="0">
        <v>42</v>
      </c>
      <c r="J109" s="0">
        <v>5</v>
      </c>
      <c r="K109" s="0">
        <v>10</v>
      </c>
      <c r="L109" s="0">
        <v>7</v>
      </c>
    </row>
    <row r="110" ht="14.25">
      <c r="A110" s="0">
        <v>14</v>
      </c>
      <c r="B110" t="s" s="0">
        <v>44</v>
      </c>
      <c r="C110" s="0">
        <v>2.3</v>
      </c>
      <c r="D110" t="s" s="0">
        <v>32</v>
      </c>
      <c r="E110" s="0">
        <v>8</v>
      </c>
      <c r="F110" s="0">
        <v>2.5</v>
      </c>
      <c r="G110" s="0">
        <v>3.08</v>
      </c>
      <c r="H110" s="0">
        <v>1.7</v>
      </c>
      <c r="I110" t="s" s="0">
        <v>42</v>
      </c>
      <c r="J110" s="0">
        <v>5</v>
      </c>
      <c r="K110" s="0">
        <v>6</v>
      </c>
      <c r="L110" s="0">
        <v>7</v>
      </c>
    </row>
    <row r="111" ht="14.25">
      <c r="A111" s="0">
        <v>17</v>
      </c>
      <c r="B111" t="s" s="0">
        <v>44</v>
      </c>
      <c r="C111" s="0">
        <v>7.7</v>
      </c>
      <c r="D111" t="s" s="0">
        <v>32</v>
      </c>
      <c r="E111" s="0">
        <v>8.5</v>
      </c>
      <c r="F111" s="0">
        <v>1.2</v>
      </c>
      <c r="G111" s="0">
        <v>3.56</v>
      </c>
      <c r="H111" s="0">
        <v>0</v>
      </c>
      <c r="I111" t="s" s="0">
        <v>42</v>
      </c>
      <c r="J111" s="0">
        <v>7</v>
      </c>
      <c r="K111" s="0">
        <v>10</v>
      </c>
      <c r="L111" s="0">
        <v>7</v>
      </c>
    </row>
    <row r="112" ht="14.25">
      <c r="A112" s="0">
        <v>16</v>
      </c>
      <c r="B112" t="s" s="0">
        <v>44</v>
      </c>
      <c r="C112" s="0">
        <v>4.8</v>
      </c>
      <c r="D112" t="s" s="0">
        <v>29</v>
      </c>
      <c r="E112" s="0">
        <v>7.1</v>
      </c>
      <c r="F112" s="0">
        <v>0.6</v>
      </c>
      <c r="G112" s="0">
        <v>3.36</v>
      </c>
      <c r="H112" s="0">
        <v>0.7</v>
      </c>
      <c r="I112" t="s" s="0">
        <v>30</v>
      </c>
      <c r="J112" s="0">
        <v>7</v>
      </c>
      <c r="K112" s="0">
        <v>6</v>
      </c>
      <c r="L112" s="0">
        <v>9</v>
      </c>
    </row>
    <row r="113" ht="14.25">
      <c r="A113" s="0">
        <v>17</v>
      </c>
      <c r="B113" t="s" s="0">
        <v>36</v>
      </c>
      <c r="C113" s="0">
        <v>5.2</v>
      </c>
      <c r="D113" t="s" s="0">
        <v>29</v>
      </c>
      <c r="E113" s="0">
        <v>6</v>
      </c>
      <c r="F113" s="0">
        <v>0.6</v>
      </c>
      <c r="G113" s="0">
        <v>3.07</v>
      </c>
      <c r="H113" s="0">
        <v>0.6</v>
      </c>
      <c r="I113" t="s" s="0">
        <v>42</v>
      </c>
      <c r="J113" s="0">
        <v>6</v>
      </c>
      <c r="K113" s="0">
        <v>2</v>
      </c>
      <c r="L113" s="0">
        <v>9</v>
      </c>
    </row>
    <row r="114" ht="14.25">
      <c r="A114" s="0">
        <v>13</v>
      </c>
      <c r="B114" t="s" s="0">
        <v>44</v>
      </c>
      <c r="C114" s="0">
        <v>5.7</v>
      </c>
      <c r="D114" t="s" s="0">
        <v>29</v>
      </c>
      <c r="E114" s="0">
        <v>6.6</v>
      </c>
      <c r="F114" s="0">
        <v>2.4</v>
      </c>
      <c r="G114" s="0">
        <v>3.99</v>
      </c>
      <c r="H114" s="0">
        <v>1.7</v>
      </c>
      <c r="I114" t="s" s="0">
        <v>30</v>
      </c>
      <c r="J114" s="0">
        <v>1</v>
      </c>
      <c r="K114" s="0">
        <v>3</v>
      </c>
      <c r="L114" s="0">
        <v>1</v>
      </c>
    </row>
    <row r="115" ht="14.25">
      <c r="A115" s="0">
        <v>15</v>
      </c>
      <c r="B115" t="s" s="0">
        <v>44</v>
      </c>
      <c r="C115" s="0">
        <v>4.6</v>
      </c>
      <c r="D115" t="s" s="0">
        <v>32</v>
      </c>
      <c r="E115" s="0">
        <v>5.2</v>
      </c>
      <c r="F115" s="0">
        <v>1.4</v>
      </c>
      <c r="G115" s="0">
        <v>2.98</v>
      </c>
      <c r="H115" s="0">
        <v>1.9</v>
      </c>
      <c r="I115" t="s" s="0">
        <v>39</v>
      </c>
      <c r="J115" s="0">
        <v>1</v>
      </c>
      <c r="K115" s="0">
        <v>4</v>
      </c>
      <c r="L115" s="0">
        <v>5</v>
      </c>
    </row>
    <row r="116" ht="14.25">
      <c r="A116" s="0">
        <v>13</v>
      </c>
      <c r="B116" t="s" s="0">
        <v>44</v>
      </c>
      <c r="C116" s="0">
        <v>4.3</v>
      </c>
      <c r="D116" t="s" s="0">
        <v>32</v>
      </c>
      <c r="E116" s="0">
        <v>7.5</v>
      </c>
      <c r="F116" s="0">
        <v>2.7</v>
      </c>
      <c r="G116" s="0">
        <v>2.29</v>
      </c>
      <c r="H116" s="0">
        <v>0.8</v>
      </c>
      <c r="I116" t="s" s="0">
        <v>30</v>
      </c>
      <c r="J116" s="0">
        <v>1</v>
      </c>
      <c r="K116" s="0">
        <v>10</v>
      </c>
      <c r="L116" s="0">
        <v>1</v>
      </c>
    </row>
    <row r="117" ht="14.25">
      <c r="A117" s="0">
        <v>17</v>
      </c>
      <c r="B117" t="s" s="0">
        <v>36</v>
      </c>
      <c r="C117" s="0">
        <v>4.1</v>
      </c>
      <c r="D117" t="s" s="0">
        <v>43</v>
      </c>
      <c r="E117" s="0">
        <v>8.6</v>
      </c>
      <c r="F117" s="0">
        <v>3</v>
      </c>
      <c r="G117" s="0">
        <v>2.77</v>
      </c>
      <c r="H117" s="0">
        <v>0.1</v>
      </c>
      <c r="I117" t="s" s="0">
        <v>42</v>
      </c>
      <c r="J117" s="0">
        <v>3</v>
      </c>
      <c r="K117" s="0">
        <v>6</v>
      </c>
      <c r="L117" s="0">
        <v>1</v>
      </c>
    </row>
    <row r="118" ht="14.25">
      <c r="A118" s="0">
        <v>15</v>
      </c>
      <c r="B118" t="s" s="0">
        <v>44</v>
      </c>
      <c r="C118" s="0">
        <v>6.5</v>
      </c>
      <c r="D118" t="s" s="0">
        <v>29</v>
      </c>
      <c r="E118" s="0">
        <v>8.1</v>
      </c>
      <c r="F118" s="0">
        <v>2</v>
      </c>
      <c r="G118" s="0">
        <v>3.89</v>
      </c>
      <c r="H118" s="0">
        <v>1.3</v>
      </c>
      <c r="I118" t="s" s="0">
        <v>30</v>
      </c>
      <c r="J118" s="0">
        <v>8</v>
      </c>
      <c r="K118" s="0">
        <v>2</v>
      </c>
      <c r="L118" s="0">
        <v>2</v>
      </c>
    </row>
    <row r="119" ht="14.25">
      <c r="A119" s="0">
        <v>19</v>
      </c>
      <c r="B119" t="s" s="0">
        <v>36</v>
      </c>
      <c r="C119" s="0">
        <v>7.8</v>
      </c>
      <c r="D119" t="s" s="0">
        <v>29</v>
      </c>
      <c r="E119" s="0">
        <v>8.8</v>
      </c>
      <c r="F119" s="0">
        <v>2.1</v>
      </c>
      <c r="G119" s="0">
        <v>3.75</v>
      </c>
      <c r="H119" s="0">
        <v>1.3</v>
      </c>
      <c r="I119" t="s" s="0">
        <v>30</v>
      </c>
      <c r="J119" s="0">
        <v>10</v>
      </c>
      <c r="K119" s="0">
        <v>9</v>
      </c>
      <c r="L119" s="0">
        <v>6</v>
      </c>
    </row>
    <row r="120" ht="14.25">
      <c r="A120" s="0">
        <v>17</v>
      </c>
      <c r="B120" t="s" s="0">
        <v>44</v>
      </c>
      <c r="C120" s="0">
        <v>6.5</v>
      </c>
      <c r="D120" t="s" s="0">
        <v>43</v>
      </c>
      <c r="E120" s="0">
        <v>4.1</v>
      </c>
      <c r="F120" s="0">
        <v>2.7</v>
      </c>
      <c r="G120" s="0">
        <v>3.66</v>
      </c>
      <c r="H120" s="0">
        <v>1.1</v>
      </c>
      <c r="I120" t="s" s="0">
        <v>42</v>
      </c>
      <c r="J120" s="0">
        <v>6</v>
      </c>
      <c r="K120" s="0">
        <v>10</v>
      </c>
      <c r="L120" s="0">
        <v>10</v>
      </c>
    </row>
    <row r="121" ht="14.25">
      <c r="A121" s="0">
        <v>17</v>
      </c>
      <c r="B121" t="s" s="0">
        <v>36</v>
      </c>
      <c r="C121" s="0">
        <v>3.2</v>
      </c>
      <c r="D121" t="s" s="0">
        <v>32</v>
      </c>
      <c r="E121" s="0">
        <v>4.2</v>
      </c>
      <c r="F121" s="0">
        <v>0.6</v>
      </c>
      <c r="G121" s="0">
        <v>2.21</v>
      </c>
      <c r="H121" s="0">
        <v>1.4</v>
      </c>
      <c r="I121" t="s" s="0">
        <v>42</v>
      </c>
      <c r="J121" s="0">
        <v>6</v>
      </c>
      <c r="K121" s="0">
        <v>6</v>
      </c>
      <c r="L121" s="0">
        <v>3</v>
      </c>
    </row>
    <row r="122" ht="14.25">
      <c r="A122" s="0">
        <v>13</v>
      </c>
      <c r="B122" t="s" s="0">
        <v>44</v>
      </c>
      <c r="C122" s="0">
        <v>2.4</v>
      </c>
      <c r="D122" t="s" s="0">
        <v>32</v>
      </c>
      <c r="E122" s="0">
        <v>4.1</v>
      </c>
      <c r="F122" s="0">
        <v>0.8</v>
      </c>
      <c r="G122" s="0">
        <v>2.79</v>
      </c>
      <c r="H122" s="0">
        <v>1.1</v>
      </c>
      <c r="I122" t="s" s="0">
        <v>42</v>
      </c>
      <c r="J122" s="0">
        <v>8</v>
      </c>
      <c r="K122" s="0">
        <v>6</v>
      </c>
      <c r="L122" s="0">
        <v>3</v>
      </c>
    </row>
    <row r="123" ht="14.25">
      <c r="A123" s="0">
        <v>15</v>
      </c>
      <c r="B123" t="s" s="0">
        <v>36</v>
      </c>
      <c r="C123" s="0">
        <v>4</v>
      </c>
      <c r="D123" t="s" s="0">
        <v>43</v>
      </c>
      <c r="E123" s="0">
        <v>8.1</v>
      </c>
      <c r="F123" s="0">
        <v>2.1</v>
      </c>
      <c r="G123" s="0">
        <v>2.01</v>
      </c>
      <c r="H123" s="0">
        <v>0.4</v>
      </c>
      <c r="I123" t="s" s="0">
        <v>42</v>
      </c>
      <c r="J123" s="0">
        <v>4</v>
      </c>
      <c r="K123" s="0">
        <v>8</v>
      </c>
      <c r="L123" s="0">
        <v>8</v>
      </c>
    </row>
    <row r="124" ht="14.25">
      <c r="A124" s="0">
        <v>17</v>
      </c>
      <c r="B124" t="s" s="0">
        <v>36</v>
      </c>
      <c r="C124" s="0">
        <v>6</v>
      </c>
      <c r="D124" t="s" s="0">
        <v>29</v>
      </c>
      <c r="E124" s="0">
        <v>8.8</v>
      </c>
      <c r="F124" s="0">
        <v>1.3</v>
      </c>
      <c r="G124" s="0">
        <v>4</v>
      </c>
      <c r="H124" s="0">
        <v>0.9</v>
      </c>
      <c r="I124" t="s" s="0">
        <v>42</v>
      </c>
      <c r="J124" s="0">
        <v>8</v>
      </c>
      <c r="K124" s="0">
        <v>10</v>
      </c>
      <c r="L124" s="0">
        <v>7</v>
      </c>
    </row>
    <row r="125" ht="14.25">
      <c r="A125" s="0">
        <v>18</v>
      </c>
      <c r="B125" t="s" s="0">
        <v>44</v>
      </c>
      <c r="C125" s="0">
        <v>1.2</v>
      </c>
      <c r="D125" t="s" s="0">
        <v>32</v>
      </c>
      <c r="E125" s="0">
        <v>8</v>
      </c>
      <c r="F125" s="0">
        <v>1.7</v>
      </c>
      <c r="G125" s="0">
        <v>3.12</v>
      </c>
      <c r="H125" s="0">
        <v>0.1</v>
      </c>
      <c r="I125" t="s" s="0">
        <v>39</v>
      </c>
      <c r="J125" s="0">
        <v>6</v>
      </c>
      <c r="K125" s="0">
        <v>4</v>
      </c>
      <c r="L125" s="0">
        <v>2</v>
      </c>
    </row>
    <row r="126" ht="14.25">
      <c r="A126" s="0">
        <v>16</v>
      </c>
      <c r="B126" t="s" s="0">
        <v>44</v>
      </c>
      <c r="C126" s="0">
        <v>5.7</v>
      </c>
      <c r="D126" t="s" s="0">
        <v>29</v>
      </c>
      <c r="E126" s="0">
        <v>5.8</v>
      </c>
      <c r="F126" s="0">
        <v>2.8</v>
      </c>
      <c r="G126" s="0">
        <v>2.17</v>
      </c>
      <c r="H126" s="0">
        <v>0.5</v>
      </c>
      <c r="I126" t="s" s="0">
        <v>42</v>
      </c>
      <c r="J126" s="0">
        <v>3</v>
      </c>
      <c r="K126" s="0">
        <v>9</v>
      </c>
      <c r="L126" s="0">
        <v>2</v>
      </c>
    </row>
    <row r="127" ht="14.25">
      <c r="A127" s="0">
        <v>19</v>
      </c>
      <c r="B127" t="s" s="0">
        <v>44</v>
      </c>
      <c r="C127" s="0">
        <v>6.5</v>
      </c>
      <c r="D127" t="s" s="0">
        <v>29</v>
      </c>
      <c r="E127" s="0">
        <v>8.1</v>
      </c>
      <c r="F127" s="0">
        <v>2.3</v>
      </c>
      <c r="G127" s="0">
        <v>2.21</v>
      </c>
      <c r="H127" s="0">
        <v>0.4</v>
      </c>
      <c r="I127" t="s" s="0">
        <v>30</v>
      </c>
      <c r="J127" s="0">
        <v>8</v>
      </c>
      <c r="K127" s="0">
        <v>8</v>
      </c>
      <c r="L127" s="0">
        <v>6</v>
      </c>
    </row>
    <row r="128" ht="14.25">
      <c r="A128" s="0">
        <v>16</v>
      </c>
      <c r="B128" t="s" s="0">
        <v>44</v>
      </c>
      <c r="C128" s="0">
        <v>6.6</v>
      </c>
      <c r="D128" t="s" s="0">
        <v>43</v>
      </c>
      <c r="E128" s="0">
        <v>5.6</v>
      </c>
      <c r="F128" s="0">
        <v>0.8</v>
      </c>
      <c r="G128" s="0">
        <v>3.48</v>
      </c>
      <c r="H128" s="0">
        <v>1.7</v>
      </c>
      <c r="I128" t="s" s="0">
        <v>42</v>
      </c>
      <c r="J128" s="0">
        <v>4</v>
      </c>
      <c r="K128" s="0">
        <v>3</v>
      </c>
      <c r="L128" s="0">
        <v>4</v>
      </c>
    </row>
    <row r="129" ht="14.25">
      <c r="A129" s="0">
        <v>13</v>
      </c>
      <c r="B129" t="s" s="0">
        <v>44</v>
      </c>
      <c r="C129" s="0">
        <v>6</v>
      </c>
      <c r="D129" t="s" s="0">
        <v>32</v>
      </c>
      <c r="E129" s="0">
        <v>7.2</v>
      </c>
      <c r="F129" s="0">
        <v>1.5</v>
      </c>
      <c r="G129" s="0">
        <v>2.36</v>
      </c>
      <c r="H129" s="0">
        <v>0.2</v>
      </c>
      <c r="I129" t="s" s="0">
        <v>39</v>
      </c>
      <c r="J129" s="0">
        <v>1</v>
      </c>
      <c r="K129" s="0">
        <v>3</v>
      </c>
      <c r="L129" s="0">
        <v>4</v>
      </c>
    </row>
    <row r="130" ht="14.25">
      <c r="A130" s="0">
        <v>18</v>
      </c>
      <c r="B130" t="s" s="0">
        <v>36</v>
      </c>
      <c r="C130" s="0">
        <v>1.1</v>
      </c>
      <c r="D130" t="s" s="0">
        <v>29</v>
      </c>
      <c r="E130" s="0">
        <v>8</v>
      </c>
      <c r="F130" s="0">
        <v>2.7</v>
      </c>
      <c r="G130" s="0">
        <v>2.04</v>
      </c>
      <c r="H130" s="0">
        <v>0.1</v>
      </c>
      <c r="I130" t="s" s="0">
        <v>39</v>
      </c>
      <c r="J130" s="0">
        <v>7</v>
      </c>
      <c r="K130" s="0">
        <v>10</v>
      </c>
      <c r="L130" s="0">
        <v>2</v>
      </c>
    </row>
    <row r="131" ht="14.25">
      <c r="A131" s="0">
        <v>13</v>
      </c>
      <c r="B131" t="s" s="0">
        <v>36</v>
      </c>
      <c r="C131" s="0">
        <v>3.8</v>
      </c>
      <c r="D131" t="s" s="0">
        <v>43</v>
      </c>
      <c r="E131" s="0">
        <v>7.9</v>
      </c>
      <c r="F131" s="0">
        <v>1.3</v>
      </c>
      <c r="G131" s="0">
        <v>3.97</v>
      </c>
      <c r="H131" s="0">
        <v>0.2</v>
      </c>
      <c r="I131" t="s" s="0">
        <v>42</v>
      </c>
      <c r="J131" s="0">
        <v>7</v>
      </c>
      <c r="K131" s="0">
        <v>10</v>
      </c>
      <c r="L131" s="0">
        <v>9</v>
      </c>
    </row>
    <row r="132" ht="14.25">
      <c r="A132" s="0">
        <v>13</v>
      </c>
      <c r="B132" t="s" s="0">
        <v>36</v>
      </c>
      <c r="C132" s="0">
        <v>4.7</v>
      </c>
      <c r="D132" t="s" s="0">
        <v>29</v>
      </c>
      <c r="E132" s="0">
        <v>6.8</v>
      </c>
      <c r="F132" s="0">
        <v>1.7</v>
      </c>
      <c r="G132" s="0">
        <v>3.27</v>
      </c>
      <c r="H132" s="0">
        <v>1.4</v>
      </c>
      <c r="I132" t="s" s="0">
        <v>39</v>
      </c>
      <c r="J132" s="0">
        <v>4</v>
      </c>
      <c r="K132" s="0">
        <v>2</v>
      </c>
      <c r="L132" s="0">
        <v>4</v>
      </c>
    </row>
    <row r="133" ht="14.25">
      <c r="A133" s="0">
        <v>15</v>
      </c>
      <c r="B133" t="s" s="0">
        <v>44</v>
      </c>
      <c r="C133" s="0">
        <v>7.4</v>
      </c>
      <c r="D133" t="s" s="0">
        <v>32</v>
      </c>
      <c r="E133" s="0">
        <v>6.3</v>
      </c>
      <c r="F133" s="0">
        <v>1.3</v>
      </c>
      <c r="G133" s="0">
        <v>3.47</v>
      </c>
      <c r="H133" s="0">
        <v>1.2</v>
      </c>
      <c r="I133" t="s" s="0">
        <v>42</v>
      </c>
      <c r="J133" s="0">
        <v>1</v>
      </c>
      <c r="K133" s="0">
        <v>3</v>
      </c>
      <c r="L133" s="0">
        <v>9</v>
      </c>
    </row>
    <row r="134" ht="14.25">
      <c r="A134" s="0">
        <v>17</v>
      </c>
      <c r="B134" t="s" s="0">
        <v>44</v>
      </c>
      <c r="C134" s="0">
        <v>3.9</v>
      </c>
      <c r="D134" t="s" s="0">
        <v>43</v>
      </c>
      <c r="E134" s="0">
        <v>7.1</v>
      </c>
      <c r="F134" s="0">
        <v>2.4</v>
      </c>
      <c r="G134" s="0">
        <v>3.82</v>
      </c>
      <c r="H134" s="0">
        <v>0.8</v>
      </c>
      <c r="I134" t="s" s="0">
        <v>30</v>
      </c>
      <c r="J134" s="0">
        <v>3</v>
      </c>
      <c r="K134" s="0">
        <v>6</v>
      </c>
      <c r="L134" s="0">
        <v>10</v>
      </c>
    </row>
    <row r="135" ht="14.25">
      <c r="A135" s="0">
        <v>18</v>
      </c>
      <c r="B135" t="s" s="0">
        <v>44</v>
      </c>
      <c r="C135" s="0">
        <v>3.1</v>
      </c>
      <c r="D135" t="s" s="0">
        <v>43</v>
      </c>
      <c r="E135" s="0">
        <v>5.7</v>
      </c>
      <c r="F135" s="0">
        <v>2.9</v>
      </c>
      <c r="G135" s="0">
        <v>3.1</v>
      </c>
      <c r="H135" s="0">
        <v>0.6</v>
      </c>
      <c r="I135" t="s" s="0">
        <v>42</v>
      </c>
      <c r="J135" s="0">
        <v>9</v>
      </c>
      <c r="K135" s="0">
        <v>4</v>
      </c>
      <c r="L135" s="0">
        <v>2</v>
      </c>
    </row>
    <row r="136" ht="14.25">
      <c r="A136" s="0">
        <v>16</v>
      </c>
      <c r="B136" t="s" s="0">
        <v>36</v>
      </c>
      <c r="C136" s="0">
        <v>2.6</v>
      </c>
      <c r="D136" t="s" s="0">
        <v>32</v>
      </c>
      <c r="E136" s="0">
        <v>8.8</v>
      </c>
      <c r="F136" s="0">
        <v>1.7</v>
      </c>
      <c r="G136" s="0">
        <v>2.39</v>
      </c>
      <c r="H136" s="0">
        <v>1</v>
      </c>
      <c r="I136" t="s" s="0">
        <v>42</v>
      </c>
      <c r="J136" s="0">
        <v>5</v>
      </c>
      <c r="K136" s="0">
        <v>2</v>
      </c>
      <c r="L136" s="0">
        <v>6</v>
      </c>
    </row>
    <row r="137" ht="14.25">
      <c r="A137" s="0">
        <v>13</v>
      </c>
      <c r="B137" t="s" s="0">
        <v>44</v>
      </c>
      <c r="C137" s="0">
        <v>5</v>
      </c>
      <c r="D137" t="s" s="0">
        <v>32</v>
      </c>
      <c r="E137" s="0">
        <v>6.9</v>
      </c>
      <c r="F137" s="0">
        <v>0.6</v>
      </c>
      <c r="G137" s="0">
        <v>3.03</v>
      </c>
      <c r="H137" s="0">
        <v>0.8</v>
      </c>
      <c r="I137" t="s" s="0">
        <v>39</v>
      </c>
      <c r="J137" s="0">
        <v>9</v>
      </c>
      <c r="K137" s="0">
        <v>3</v>
      </c>
      <c r="L137" s="0">
        <v>8</v>
      </c>
    </row>
    <row r="138" ht="14.25">
      <c r="A138" s="0">
        <v>18</v>
      </c>
      <c r="B138" t="s" s="0">
        <v>44</v>
      </c>
      <c r="C138" s="0">
        <v>4.5</v>
      </c>
      <c r="D138" t="s" s="0">
        <v>43</v>
      </c>
      <c r="E138" s="0">
        <v>8.1</v>
      </c>
      <c r="F138" s="0">
        <v>1.6</v>
      </c>
      <c r="G138" s="0">
        <v>3.72</v>
      </c>
      <c r="H138" s="0">
        <v>1.2</v>
      </c>
      <c r="I138" t="s" s="0">
        <v>39</v>
      </c>
      <c r="J138" s="0">
        <v>1</v>
      </c>
      <c r="K138" s="0">
        <v>2</v>
      </c>
      <c r="L138" s="0">
        <v>1</v>
      </c>
    </row>
    <row r="139" ht="14.25">
      <c r="A139" s="0">
        <v>17</v>
      </c>
      <c r="B139" t="s" s="0">
        <v>44</v>
      </c>
      <c r="C139" s="0">
        <v>2.1</v>
      </c>
      <c r="D139" t="s" s="0">
        <v>32</v>
      </c>
      <c r="E139" s="0">
        <v>4.7</v>
      </c>
      <c r="F139" s="0">
        <v>2</v>
      </c>
      <c r="G139" s="0">
        <v>2.99</v>
      </c>
      <c r="H139" s="0">
        <v>1.9</v>
      </c>
      <c r="I139" t="s" s="0">
        <v>39</v>
      </c>
      <c r="J139" s="0">
        <v>5</v>
      </c>
      <c r="K139" s="0">
        <v>1</v>
      </c>
      <c r="L139" s="0">
        <v>8</v>
      </c>
    </row>
    <row r="140" ht="14.25">
      <c r="A140" s="0">
        <v>14</v>
      </c>
      <c r="B140" t="s" s="0">
        <v>36</v>
      </c>
      <c r="C140" s="0">
        <v>6.4</v>
      </c>
      <c r="D140" t="s" s="0">
        <v>43</v>
      </c>
      <c r="E140" s="0">
        <v>6</v>
      </c>
      <c r="F140" s="0">
        <v>1.1</v>
      </c>
      <c r="G140" s="0">
        <v>3.81</v>
      </c>
      <c r="H140" s="0">
        <v>0.9</v>
      </c>
      <c r="I140" t="s" s="0">
        <v>42</v>
      </c>
      <c r="J140" s="0">
        <v>8</v>
      </c>
      <c r="K140" s="0">
        <v>2</v>
      </c>
      <c r="L140" s="0">
        <v>3</v>
      </c>
    </row>
    <row r="141" ht="14.25">
      <c r="A141" s="0">
        <v>15</v>
      </c>
      <c r="B141" t="s" s="0">
        <v>36</v>
      </c>
      <c r="C141" s="0">
        <v>2.3</v>
      </c>
      <c r="D141" t="s" s="0">
        <v>32</v>
      </c>
      <c r="E141" s="0">
        <v>6.5</v>
      </c>
      <c r="F141" s="0">
        <v>2.6</v>
      </c>
      <c r="G141" s="0">
        <v>3.18</v>
      </c>
      <c r="H141" s="0">
        <v>0.1</v>
      </c>
      <c r="I141" t="s" s="0">
        <v>39</v>
      </c>
      <c r="J141" s="0">
        <v>1</v>
      </c>
      <c r="K141" s="0">
        <v>8</v>
      </c>
      <c r="L141" s="0">
        <v>4</v>
      </c>
    </row>
    <row r="142" ht="14.25">
      <c r="A142" s="0">
        <v>13</v>
      </c>
      <c r="B142" t="s" s="0">
        <v>36</v>
      </c>
      <c r="C142" s="0">
        <v>4.4</v>
      </c>
      <c r="D142" t="s" s="0">
        <v>32</v>
      </c>
      <c r="E142" s="0">
        <v>8.8</v>
      </c>
      <c r="F142" s="0">
        <v>1.3</v>
      </c>
      <c r="G142" s="0">
        <v>2.69</v>
      </c>
      <c r="H142" s="0">
        <v>0.4</v>
      </c>
      <c r="I142" t="s" s="0">
        <v>39</v>
      </c>
      <c r="J142" s="0">
        <v>3</v>
      </c>
      <c r="K142" s="0">
        <v>1</v>
      </c>
      <c r="L142" s="0">
        <v>7</v>
      </c>
    </row>
    <row r="143" ht="14.25">
      <c r="A143" s="0">
        <v>19</v>
      </c>
      <c r="B143" t="s" s="0">
        <v>44</v>
      </c>
      <c r="C143" s="0">
        <v>2.3</v>
      </c>
      <c r="D143" t="s" s="0">
        <v>43</v>
      </c>
      <c r="E143" s="0">
        <v>6.9</v>
      </c>
      <c r="F143" s="0">
        <v>2.3</v>
      </c>
      <c r="G143" s="0">
        <v>2.17</v>
      </c>
      <c r="H143" s="0">
        <v>1.6</v>
      </c>
      <c r="I143" t="s" s="0">
        <v>42</v>
      </c>
      <c r="J143" s="0">
        <v>3</v>
      </c>
      <c r="K143" s="0">
        <v>6</v>
      </c>
      <c r="L143" s="0">
        <v>10</v>
      </c>
    </row>
    <row r="144" ht="14.25">
      <c r="A144" s="0">
        <v>13</v>
      </c>
      <c r="B144" t="s" s="0">
        <v>44</v>
      </c>
      <c r="C144" s="0">
        <v>4.3</v>
      </c>
      <c r="D144" t="s" s="0">
        <v>43</v>
      </c>
      <c r="E144" s="0">
        <v>4.4</v>
      </c>
      <c r="F144" s="0">
        <v>0.7</v>
      </c>
      <c r="G144" s="0">
        <v>3.19</v>
      </c>
      <c r="H144" s="0">
        <v>0.3</v>
      </c>
      <c r="I144" t="s" s="0">
        <v>39</v>
      </c>
      <c r="J144" s="0">
        <v>6</v>
      </c>
      <c r="K144" s="0">
        <v>2</v>
      </c>
      <c r="L144" s="0">
        <v>6</v>
      </c>
    </row>
    <row r="145" ht="14.25">
      <c r="A145" s="0">
        <v>18</v>
      </c>
      <c r="B145" t="s" s="0">
        <v>36</v>
      </c>
      <c r="C145" s="0">
        <v>3.9</v>
      </c>
      <c r="D145" t="s" s="0">
        <v>32</v>
      </c>
      <c r="E145" s="0">
        <v>5.2</v>
      </c>
      <c r="F145" s="0">
        <v>1.8</v>
      </c>
      <c r="G145" s="0">
        <v>2.41</v>
      </c>
      <c r="H145" s="0">
        <v>0.6</v>
      </c>
      <c r="I145" t="s" s="0">
        <v>30</v>
      </c>
      <c r="J145" s="0">
        <v>9</v>
      </c>
      <c r="K145" s="0">
        <v>5</v>
      </c>
      <c r="L145" s="0">
        <v>5</v>
      </c>
    </row>
    <row r="146" ht="14.25">
      <c r="A146" s="0">
        <v>18</v>
      </c>
      <c r="B146" t="s" s="0">
        <v>44</v>
      </c>
      <c r="C146" s="0">
        <v>2.9</v>
      </c>
      <c r="D146" t="s" s="0">
        <v>32</v>
      </c>
      <c r="E146" s="0">
        <v>7.5</v>
      </c>
      <c r="F146" s="0">
        <v>0.9</v>
      </c>
      <c r="G146" s="0">
        <v>2.62</v>
      </c>
      <c r="H146" s="0">
        <v>2</v>
      </c>
      <c r="I146" t="s" s="0">
        <v>30</v>
      </c>
      <c r="J146" s="0">
        <v>3</v>
      </c>
      <c r="K146" s="0">
        <v>1</v>
      </c>
      <c r="L146" s="0">
        <v>9</v>
      </c>
    </row>
    <row r="147" ht="14.25">
      <c r="A147" s="0">
        <v>14</v>
      </c>
      <c r="B147" t="s" s="0">
        <v>44</v>
      </c>
      <c r="C147" s="0">
        <v>2.1</v>
      </c>
      <c r="D147" t="s" s="0">
        <v>43</v>
      </c>
      <c r="E147" s="0">
        <v>8.5</v>
      </c>
      <c r="F147" s="0">
        <v>1.1</v>
      </c>
      <c r="G147" s="0">
        <v>3.03</v>
      </c>
      <c r="H147" s="0">
        <v>1.6</v>
      </c>
      <c r="I147" t="s" s="0">
        <v>42</v>
      </c>
      <c r="J147" s="0">
        <v>5</v>
      </c>
      <c r="K147" s="0">
        <v>6</v>
      </c>
      <c r="L147" s="0">
        <v>7</v>
      </c>
    </row>
    <row r="148" ht="14.25">
      <c r="A148" s="0">
        <v>14</v>
      </c>
      <c r="B148" t="s" s="0">
        <v>44</v>
      </c>
      <c r="C148" s="0">
        <v>2.1</v>
      </c>
      <c r="D148" t="s" s="0">
        <v>32</v>
      </c>
      <c r="E148" s="0">
        <v>5</v>
      </c>
      <c r="F148" s="0">
        <v>1.4</v>
      </c>
      <c r="G148" s="0">
        <v>2.96</v>
      </c>
      <c r="H148" s="0">
        <v>1.1</v>
      </c>
      <c r="I148" t="s" s="0">
        <v>39</v>
      </c>
      <c r="J148" s="0">
        <v>7</v>
      </c>
      <c r="K148" s="0">
        <v>1</v>
      </c>
      <c r="L148" s="0">
        <v>9</v>
      </c>
    </row>
    <row r="149" ht="14.25">
      <c r="A149" s="0">
        <v>16</v>
      </c>
      <c r="B149" t="s" s="0">
        <v>44</v>
      </c>
      <c r="C149" s="0">
        <v>3.8</v>
      </c>
      <c r="D149" t="s" s="0">
        <v>32</v>
      </c>
      <c r="E149" s="0">
        <v>5.7</v>
      </c>
      <c r="F149" s="0">
        <v>1.3</v>
      </c>
      <c r="G149" s="0">
        <v>3.84</v>
      </c>
      <c r="H149" s="0">
        <v>1.6</v>
      </c>
      <c r="I149" t="s" s="0">
        <v>42</v>
      </c>
      <c r="J149" s="0">
        <v>3</v>
      </c>
      <c r="K149" s="0">
        <v>4</v>
      </c>
      <c r="L149" s="0">
        <v>10</v>
      </c>
    </row>
    <row r="150" ht="14.25">
      <c r="A150" s="0">
        <v>15</v>
      </c>
      <c r="B150" t="s" s="0">
        <v>36</v>
      </c>
      <c r="C150" s="0">
        <v>1.1</v>
      </c>
      <c r="D150" t="s" s="0">
        <v>32</v>
      </c>
      <c r="E150" s="0">
        <v>8.2</v>
      </c>
      <c r="F150" s="0">
        <v>0.7</v>
      </c>
      <c r="G150" s="0">
        <v>2.94</v>
      </c>
      <c r="H150" s="0">
        <v>0.7</v>
      </c>
      <c r="I150" t="s" s="0">
        <v>30</v>
      </c>
      <c r="J150" s="0">
        <v>10</v>
      </c>
      <c r="K150" s="0">
        <v>7</v>
      </c>
      <c r="L150" s="0">
        <v>9</v>
      </c>
    </row>
    <row r="151" ht="14.25">
      <c r="A151" s="0">
        <v>14</v>
      </c>
      <c r="B151" t="s" s="0">
        <v>44</v>
      </c>
      <c r="C151" s="0">
        <v>2.5</v>
      </c>
      <c r="D151" t="s" s="0">
        <v>29</v>
      </c>
      <c r="E151" s="0">
        <v>5.3</v>
      </c>
      <c r="F151" s="0">
        <v>2.4</v>
      </c>
      <c r="G151" s="0">
        <v>3.87</v>
      </c>
      <c r="H151" s="0">
        <v>1.3</v>
      </c>
      <c r="I151" t="s" s="0">
        <v>30</v>
      </c>
      <c r="J151" s="0">
        <v>10</v>
      </c>
      <c r="K151" s="0">
        <v>9</v>
      </c>
      <c r="L151" s="0">
        <v>6</v>
      </c>
    </row>
    <row r="152" ht="14.25">
      <c r="A152" s="0">
        <v>19</v>
      </c>
      <c r="B152" t="s" s="0">
        <v>36</v>
      </c>
      <c r="C152" s="0">
        <v>4.1</v>
      </c>
      <c r="D152" t="s" s="0">
        <v>43</v>
      </c>
      <c r="E152" s="0">
        <v>6.4</v>
      </c>
      <c r="F152" s="0">
        <v>0.9</v>
      </c>
      <c r="G152" s="0">
        <v>2.47</v>
      </c>
      <c r="H152" s="0">
        <v>1.2</v>
      </c>
      <c r="I152" t="s" s="0">
        <v>30</v>
      </c>
      <c r="J152" s="0">
        <v>7</v>
      </c>
      <c r="K152" s="0">
        <v>3</v>
      </c>
      <c r="L152" s="0">
        <v>4</v>
      </c>
    </row>
    <row r="153" ht="14.25">
      <c r="A153" s="0">
        <v>16</v>
      </c>
      <c r="B153" t="s" s="0">
        <v>44</v>
      </c>
      <c r="C153" s="0">
        <v>3</v>
      </c>
      <c r="D153" t="s" s="0">
        <v>43</v>
      </c>
      <c r="E153" s="0">
        <v>8.6</v>
      </c>
      <c r="F153" s="0">
        <v>1.5</v>
      </c>
      <c r="G153" s="0">
        <v>2.84</v>
      </c>
      <c r="H153" s="0">
        <v>0.3</v>
      </c>
      <c r="I153" t="s" s="0">
        <v>30</v>
      </c>
      <c r="J153" s="0">
        <v>6</v>
      </c>
      <c r="K153" s="0">
        <v>4</v>
      </c>
      <c r="L153" s="0">
        <v>3</v>
      </c>
    </row>
    <row r="154" ht="14.25">
      <c r="A154" s="0">
        <v>13</v>
      </c>
      <c r="B154" t="s" s="0">
        <v>36</v>
      </c>
      <c r="C154" s="0">
        <v>3.9</v>
      </c>
      <c r="D154" t="s" s="0">
        <v>43</v>
      </c>
      <c r="E154" s="0">
        <v>5</v>
      </c>
      <c r="F154" s="0">
        <v>0.7</v>
      </c>
      <c r="G154" s="0">
        <v>2.98</v>
      </c>
      <c r="H154" s="0">
        <v>0.3</v>
      </c>
      <c r="I154" t="s" s="0">
        <v>42</v>
      </c>
      <c r="J154" s="0">
        <v>10</v>
      </c>
      <c r="K154" s="0">
        <v>8</v>
      </c>
      <c r="L154" s="0">
        <v>3</v>
      </c>
    </row>
    <row r="155" ht="14.25">
      <c r="A155" s="0">
        <v>13</v>
      </c>
      <c r="B155" t="s" s="0">
        <v>44</v>
      </c>
      <c r="C155" s="0">
        <v>7</v>
      </c>
      <c r="D155" t="s" s="0">
        <v>32</v>
      </c>
      <c r="E155" s="0">
        <v>8.9</v>
      </c>
      <c r="F155" s="0">
        <v>0.6</v>
      </c>
      <c r="G155" s="0">
        <v>2.7</v>
      </c>
      <c r="H155" s="0">
        <v>1.8</v>
      </c>
      <c r="I155" t="s" s="0">
        <v>42</v>
      </c>
      <c r="J155" s="0">
        <v>5</v>
      </c>
      <c r="K155" s="0">
        <v>4</v>
      </c>
      <c r="L155" s="0">
        <v>1</v>
      </c>
    </row>
    <row r="156" ht="14.25">
      <c r="A156" s="0">
        <v>16</v>
      </c>
      <c r="B156" t="s" s="0">
        <v>44</v>
      </c>
      <c r="C156" s="0">
        <v>3.6</v>
      </c>
      <c r="D156" t="s" s="0">
        <v>29</v>
      </c>
      <c r="E156" s="0">
        <v>8.9</v>
      </c>
      <c r="F156" s="0">
        <v>1.9</v>
      </c>
      <c r="G156" s="0">
        <v>2.11</v>
      </c>
      <c r="H156" s="0">
        <v>1.7</v>
      </c>
      <c r="I156" t="s" s="0">
        <v>39</v>
      </c>
      <c r="J156" s="0">
        <v>9</v>
      </c>
      <c r="K156" s="0">
        <v>5</v>
      </c>
      <c r="L156" s="0">
        <v>2</v>
      </c>
    </row>
    <row r="157" ht="14.25">
      <c r="A157" s="0">
        <v>15</v>
      </c>
      <c r="B157" t="s" s="0">
        <v>44</v>
      </c>
      <c r="C157" s="0">
        <v>7.6</v>
      </c>
      <c r="D157" t="s" s="0">
        <v>43</v>
      </c>
      <c r="E157" s="0">
        <v>7.6</v>
      </c>
      <c r="F157" s="0">
        <v>2.7</v>
      </c>
      <c r="G157" s="0">
        <v>2.36</v>
      </c>
      <c r="H157" s="0">
        <v>1.2</v>
      </c>
      <c r="I157" t="s" s="0">
        <v>42</v>
      </c>
      <c r="J157" s="0">
        <v>5</v>
      </c>
      <c r="K157" s="0">
        <v>10</v>
      </c>
      <c r="L157" s="0">
        <v>3</v>
      </c>
    </row>
    <row r="158" ht="14.25">
      <c r="A158" s="0">
        <v>19</v>
      </c>
      <c r="B158" t="s" s="0">
        <v>44</v>
      </c>
      <c r="C158" s="0">
        <v>1.3</v>
      </c>
      <c r="D158" t="s" s="0">
        <v>43</v>
      </c>
      <c r="E158" s="0">
        <v>4.5</v>
      </c>
      <c r="F158" s="0">
        <v>0.7</v>
      </c>
      <c r="G158" s="0">
        <v>2.51</v>
      </c>
      <c r="H158" s="0">
        <v>0.8</v>
      </c>
      <c r="I158" t="s" s="0">
        <v>39</v>
      </c>
      <c r="J158" s="0">
        <v>10</v>
      </c>
      <c r="K158" s="0">
        <v>9</v>
      </c>
      <c r="L158" s="0">
        <v>7</v>
      </c>
    </row>
    <row r="159" ht="14.25">
      <c r="A159" s="0">
        <v>17</v>
      </c>
      <c r="B159" t="s" s="0">
        <v>36</v>
      </c>
      <c r="C159" s="0">
        <v>2.1</v>
      </c>
      <c r="D159" t="s" s="0">
        <v>29</v>
      </c>
      <c r="E159" s="0">
        <v>7.8</v>
      </c>
      <c r="F159" s="0">
        <v>2.1</v>
      </c>
      <c r="G159" s="0">
        <v>3.29</v>
      </c>
      <c r="H159" s="0">
        <v>1.5</v>
      </c>
      <c r="I159" t="s" s="0">
        <v>39</v>
      </c>
      <c r="J159" s="0">
        <v>8</v>
      </c>
      <c r="K159" s="0">
        <v>1</v>
      </c>
      <c r="L159" s="0">
        <v>7</v>
      </c>
    </row>
    <row r="160" ht="14.25">
      <c r="A160" s="0">
        <v>15</v>
      </c>
      <c r="B160" t="s" s="0">
        <v>36</v>
      </c>
      <c r="C160" s="0">
        <v>2.7</v>
      </c>
      <c r="D160" t="s" s="0">
        <v>29</v>
      </c>
      <c r="E160" s="0">
        <v>8.8</v>
      </c>
      <c r="F160" s="0">
        <v>1.9</v>
      </c>
      <c r="G160" s="0">
        <v>2.14</v>
      </c>
      <c r="H160" s="0">
        <v>0.4</v>
      </c>
      <c r="I160" t="s" s="0">
        <v>30</v>
      </c>
      <c r="J160" s="0">
        <v>8</v>
      </c>
      <c r="K160" s="0">
        <v>10</v>
      </c>
      <c r="L160" s="0">
        <v>3</v>
      </c>
    </row>
    <row r="161" ht="14.25">
      <c r="A161" s="0">
        <v>13</v>
      </c>
      <c r="B161" t="s" s="0">
        <v>44</v>
      </c>
      <c r="C161" s="0">
        <v>7.5</v>
      </c>
      <c r="D161" t="s" s="0">
        <v>29</v>
      </c>
      <c r="E161" s="0">
        <v>8</v>
      </c>
      <c r="F161" s="0">
        <v>2</v>
      </c>
      <c r="G161" s="0">
        <v>3.25</v>
      </c>
      <c r="H161" s="0">
        <v>0.7</v>
      </c>
      <c r="I161" t="s" s="0">
        <v>42</v>
      </c>
      <c r="J161" s="0">
        <v>9</v>
      </c>
      <c r="K161" s="0">
        <v>10</v>
      </c>
      <c r="L161" s="0">
        <v>2</v>
      </c>
    </row>
    <row r="162" ht="14.25">
      <c r="A162" s="0">
        <v>16</v>
      </c>
      <c r="B162" t="s" s="0">
        <v>36</v>
      </c>
      <c r="C162" s="0">
        <v>6.1</v>
      </c>
      <c r="D162" t="s" s="0">
        <v>29</v>
      </c>
      <c r="E162" s="0">
        <v>8.8</v>
      </c>
      <c r="F162" s="0">
        <v>1.7</v>
      </c>
      <c r="G162" s="0">
        <v>3.55</v>
      </c>
      <c r="H162" s="0">
        <v>1.3</v>
      </c>
      <c r="I162" t="s" s="0">
        <v>42</v>
      </c>
      <c r="J162" s="0">
        <v>6</v>
      </c>
      <c r="K162" s="0">
        <v>10</v>
      </c>
      <c r="L162" s="0">
        <v>9</v>
      </c>
    </row>
    <row r="163" ht="14.25">
      <c r="A163" s="0">
        <v>19</v>
      </c>
      <c r="B163" t="s" s="0">
        <v>44</v>
      </c>
      <c r="C163" s="0">
        <v>2.4</v>
      </c>
      <c r="D163" t="s" s="0">
        <v>29</v>
      </c>
      <c r="E163" s="0">
        <v>7.4</v>
      </c>
      <c r="F163" s="0">
        <v>1.2</v>
      </c>
      <c r="G163" s="0">
        <v>2.5</v>
      </c>
      <c r="H163" s="0">
        <v>1.8</v>
      </c>
      <c r="I163" t="s" s="0">
        <v>30</v>
      </c>
      <c r="J163" s="0">
        <v>2</v>
      </c>
      <c r="K163" s="0">
        <v>5</v>
      </c>
      <c r="L163" s="0">
        <v>2</v>
      </c>
    </row>
    <row r="164" ht="14.25">
      <c r="A164" s="0">
        <v>19</v>
      </c>
      <c r="B164" t="s" s="0">
        <v>44</v>
      </c>
      <c r="C164" s="0">
        <v>2</v>
      </c>
      <c r="D164" t="s" s="0">
        <v>32</v>
      </c>
      <c r="E164" s="0">
        <v>5.3</v>
      </c>
      <c r="F164" s="0">
        <v>1.7</v>
      </c>
      <c r="G164" s="0">
        <v>2.91</v>
      </c>
      <c r="H164" s="0">
        <v>0.8</v>
      </c>
      <c r="I164" t="s" s="0">
        <v>39</v>
      </c>
      <c r="J164" s="0">
        <v>9</v>
      </c>
      <c r="K164" s="0">
        <v>5</v>
      </c>
      <c r="L164" s="0">
        <v>9</v>
      </c>
    </row>
    <row r="165" ht="14.25">
      <c r="A165" s="0">
        <v>15</v>
      </c>
      <c r="B165" t="s" s="0">
        <v>36</v>
      </c>
      <c r="C165" s="0">
        <v>7.8</v>
      </c>
      <c r="D165" t="s" s="0">
        <v>32</v>
      </c>
      <c r="E165" s="0">
        <v>5.3</v>
      </c>
      <c r="F165" s="0">
        <v>0.5</v>
      </c>
      <c r="G165" s="0">
        <v>2.32</v>
      </c>
      <c r="H165" s="0">
        <v>0.8</v>
      </c>
      <c r="I165" t="s" s="0">
        <v>39</v>
      </c>
      <c r="J165" s="0">
        <v>8</v>
      </c>
      <c r="K165" s="0">
        <v>9</v>
      </c>
      <c r="L165" s="0">
        <v>3</v>
      </c>
    </row>
    <row r="166" ht="14.25">
      <c r="A166" s="0">
        <v>16</v>
      </c>
      <c r="B166" t="s" s="0">
        <v>36</v>
      </c>
      <c r="C166" s="0">
        <v>6.8</v>
      </c>
      <c r="D166" t="s" s="0">
        <v>32</v>
      </c>
      <c r="E166" s="0">
        <v>7.2</v>
      </c>
      <c r="F166" s="0">
        <v>2.5</v>
      </c>
      <c r="G166" s="0">
        <v>3.61</v>
      </c>
      <c r="H166" s="0">
        <v>0.5</v>
      </c>
      <c r="I166" t="s" s="0">
        <v>42</v>
      </c>
      <c r="J166" s="0">
        <v>10</v>
      </c>
      <c r="K166" s="0">
        <v>1</v>
      </c>
      <c r="L166" s="0">
        <v>9</v>
      </c>
    </row>
    <row r="167" ht="14.25">
      <c r="A167" s="0">
        <v>17</v>
      </c>
      <c r="B167" t="s" s="0">
        <v>44</v>
      </c>
      <c r="C167" s="0">
        <v>8</v>
      </c>
      <c r="D167" t="s" s="0">
        <v>43</v>
      </c>
      <c r="E167" s="0">
        <v>4.6</v>
      </c>
      <c r="F167" s="0">
        <v>2.6</v>
      </c>
      <c r="G167" s="0">
        <v>3.06</v>
      </c>
      <c r="H167" s="0">
        <v>0.1</v>
      </c>
      <c r="I167" t="s" s="0">
        <v>30</v>
      </c>
      <c r="J167" s="0">
        <v>9</v>
      </c>
      <c r="K167" s="0">
        <v>2</v>
      </c>
      <c r="L167" s="0">
        <v>6</v>
      </c>
    </row>
    <row r="168" ht="14.25">
      <c r="A168" s="0">
        <v>13</v>
      </c>
      <c r="B168" t="s" s="0">
        <v>36</v>
      </c>
      <c r="C168" s="0">
        <v>7.3</v>
      </c>
      <c r="D168" t="s" s="0">
        <v>29</v>
      </c>
      <c r="E168" s="0">
        <v>8.9</v>
      </c>
      <c r="F168" s="0">
        <v>2.7</v>
      </c>
      <c r="G168" s="0">
        <v>3.68</v>
      </c>
      <c r="H168" s="0">
        <v>1.9</v>
      </c>
      <c r="I168" t="s" s="0">
        <v>39</v>
      </c>
      <c r="J168" s="0">
        <v>6</v>
      </c>
      <c r="K168" s="0">
        <v>6</v>
      </c>
      <c r="L168" s="0">
        <v>10</v>
      </c>
    </row>
    <row r="169" ht="14.25">
      <c r="A169" s="0">
        <v>15</v>
      </c>
      <c r="B169" t="s" s="0">
        <v>36</v>
      </c>
      <c r="C169" s="0">
        <v>1.5</v>
      </c>
      <c r="D169" t="s" s="0">
        <v>29</v>
      </c>
      <c r="E169" s="0">
        <v>8.7</v>
      </c>
      <c r="F169" s="0">
        <v>1.2</v>
      </c>
      <c r="G169" s="0">
        <v>2.52</v>
      </c>
      <c r="H169" s="0">
        <v>0.1</v>
      </c>
      <c r="I169" t="s" s="0">
        <v>39</v>
      </c>
      <c r="J169" s="0">
        <v>9</v>
      </c>
      <c r="K169" s="0">
        <v>7</v>
      </c>
      <c r="L169" s="0">
        <v>2</v>
      </c>
    </row>
    <row r="170" ht="14.25">
      <c r="A170" s="0">
        <v>15</v>
      </c>
      <c r="B170" t="s" s="0">
        <v>36</v>
      </c>
      <c r="C170" s="0">
        <v>3.4</v>
      </c>
      <c r="D170" t="s" s="0">
        <v>43</v>
      </c>
      <c r="E170" s="0">
        <v>5</v>
      </c>
      <c r="F170" s="0">
        <v>1.8</v>
      </c>
      <c r="G170" s="0">
        <v>3.2</v>
      </c>
      <c r="H170" s="0">
        <v>1.5</v>
      </c>
      <c r="I170" t="s" s="0">
        <v>42</v>
      </c>
      <c r="J170" s="0">
        <v>4</v>
      </c>
      <c r="K170" s="0">
        <v>5</v>
      </c>
      <c r="L170" s="0">
        <v>1</v>
      </c>
    </row>
    <row r="171" ht="14.25">
      <c r="A171" s="0">
        <v>15</v>
      </c>
      <c r="B171" t="s" s="0">
        <v>44</v>
      </c>
      <c r="C171" s="0">
        <v>7.3</v>
      </c>
      <c r="D171" t="s" s="0">
        <v>29</v>
      </c>
      <c r="E171" s="0">
        <v>4.8</v>
      </c>
      <c r="F171" s="0">
        <v>2.6</v>
      </c>
      <c r="G171" s="0">
        <v>3.81</v>
      </c>
      <c r="H171" s="0">
        <v>1.5</v>
      </c>
      <c r="I171" t="s" s="0">
        <v>39</v>
      </c>
      <c r="J171" s="0">
        <v>4</v>
      </c>
      <c r="K171" s="0">
        <v>7</v>
      </c>
      <c r="L171" s="0">
        <v>4</v>
      </c>
    </row>
    <row r="172" ht="14.25">
      <c r="A172" s="0">
        <v>13</v>
      </c>
      <c r="B172" t="s" s="0">
        <v>36</v>
      </c>
      <c r="C172" s="0">
        <v>1.9</v>
      </c>
      <c r="D172" t="s" s="0">
        <v>32</v>
      </c>
      <c r="E172" s="0">
        <v>8.5</v>
      </c>
      <c r="F172" s="0">
        <v>0.8</v>
      </c>
      <c r="G172" s="0">
        <v>3.33</v>
      </c>
      <c r="H172" s="0">
        <v>1.3</v>
      </c>
      <c r="I172" t="s" s="0">
        <v>42</v>
      </c>
      <c r="J172" s="0">
        <v>5</v>
      </c>
      <c r="K172" s="0">
        <v>1</v>
      </c>
      <c r="L172" s="0">
        <v>3</v>
      </c>
    </row>
    <row r="173" ht="14.25">
      <c r="A173" s="0">
        <v>17</v>
      </c>
      <c r="B173" t="s" s="0">
        <v>36</v>
      </c>
      <c r="C173" s="0">
        <v>3.9</v>
      </c>
      <c r="D173" t="s" s="0">
        <v>43</v>
      </c>
      <c r="E173" s="0">
        <v>8.2</v>
      </c>
      <c r="F173" s="0">
        <v>1.3</v>
      </c>
      <c r="G173" s="0">
        <v>3.21</v>
      </c>
      <c r="H173" s="0">
        <v>1.8</v>
      </c>
      <c r="I173" t="s" s="0">
        <v>42</v>
      </c>
      <c r="J173" s="0">
        <v>3</v>
      </c>
      <c r="K173" s="0">
        <v>7</v>
      </c>
      <c r="L173" s="0">
        <v>7</v>
      </c>
    </row>
    <row r="174" ht="14.25">
      <c r="A174" s="0">
        <v>18</v>
      </c>
      <c r="B174" t="s" s="0">
        <v>44</v>
      </c>
      <c r="C174" s="0">
        <v>1.3</v>
      </c>
      <c r="D174" t="s" s="0">
        <v>43</v>
      </c>
      <c r="E174" s="0">
        <v>5.8</v>
      </c>
      <c r="F174" s="0">
        <v>1.3</v>
      </c>
      <c r="G174" s="0">
        <v>3.35</v>
      </c>
      <c r="H174" s="0">
        <v>1.9</v>
      </c>
      <c r="I174" t="s" s="0">
        <v>42</v>
      </c>
      <c r="J174" s="0">
        <v>9</v>
      </c>
      <c r="K174" s="0">
        <v>4</v>
      </c>
      <c r="L174" s="0">
        <v>9</v>
      </c>
    </row>
    <row r="175" ht="14.25">
      <c r="A175" s="0">
        <v>19</v>
      </c>
      <c r="B175" t="s" s="0">
        <v>44</v>
      </c>
      <c r="C175" s="0">
        <v>4.7</v>
      </c>
      <c r="D175" t="s" s="0">
        <v>32</v>
      </c>
      <c r="E175" s="0">
        <v>8.2</v>
      </c>
      <c r="F175" s="0">
        <v>1.8</v>
      </c>
      <c r="G175" s="0">
        <v>2.26</v>
      </c>
      <c r="H175" s="0">
        <v>1</v>
      </c>
      <c r="I175" t="s" s="0">
        <v>39</v>
      </c>
      <c r="J175" s="0">
        <v>7</v>
      </c>
      <c r="K175" s="0">
        <v>4</v>
      </c>
      <c r="L175" s="0">
        <v>7</v>
      </c>
    </row>
    <row r="176" ht="14.25">
      <c r="A176" s="0">
        <v>15</v>
      </c>
      <c r="B176" t="s" s="0">
        <v>44</v>
      </c>
      <c r="C176" s="0">
        <v>1.9</v>
      </c>
      <c r="D176" t="s" s="0">
        <v>32</v>
      </c>
      <c r="E176" s="0">
        <v>5.8</v>
      </c>
      <c r="F176" s="0">
        <v>2.3</v>
      </c>
      <c r="G176" s="0">
        <v>2.47</v>
      </c>
      <c r="H176" s="0">
        <v>0.3</v>
      </c>
      <c r="I176" t="s" s="0">
        <v>30</v>
      </c>
      <c r="J176" s="0">
        <v>10</v>
      </c>
      <c r="K176" s="0">
        <v>9</v>
      </c>
      <c r="L176" s="0">
        <v>4</v>
      </c>
    </row>
    <row r="177" ht="14.25">
      <c r="A177" s="0">
        <v>18</v>
      </c>
      <c r="B177" t="s" s="0">
        <v>36</v>
      </c>
      <c r="C177" s="0">
        <v>7</v>
      </c>
      <c r="D177" t="s" s="0">
        <v>29</v>
      </c>
      <c r="E177" s="0">
        <v>6.3</v>
      </c>
      <c r="F177" s="0">
        <v>1.6</v>
      </c>
      <c r="G177" s="0">
        <v>2.55</v>
      </c>
      <c r="H177" s="0">
        <v>0.5</v>
      </c>
      <c r="I177" t="s" s="0">
        <v>42</v>
      </c>
      <c r="J177" s="0">
        <v>10</v>
      </c>
      <c r="K177" s="0">
        <v>1</v>
      </c>
      <c r="L177" s="0">
        <v>8</v>
      </c>
    </row>
    <row r="178" ht="14.25">
      <c r="A178" s="0">
        <v>15</v>
      </c>
      <c r="B178" t="s" s="0">
        <v>44</v>
      </c>
      <c r="C178" s="0">
        <v>6.2</v>
      </c>
      <c r="D178" t="s" s="0">
        <v>32</v>
      </c>
      <c r="E178" s="0">
        <v>6.3</v>
      </c>
      <c r="F178" s="0">
        <v>1.7</v>
      </c>
      <c r="G178" s="0">
        <v>2.26</v>
      </c>
      <c r="H178" s="0">
        <v>1.1</v>
      </c>
      <c r="I178" t="s" s="0">
        <v>30</v>
      </c>
      <c r="J178" s="0">
        <v>9</v>
      </c>
      <c r="K178" s="0">
        <v>6</v>
      </c>
      <c r="L178" s="0">
        <v>2</v>
      </c>
    </row>
    <row r="179" ht="14.25">
      <c r="A179" s="0">
        <v>14</v>
      </c>
      <c r="B179" t="s" s="0">
        <v>44</v>
      </c>
      <c r="C179" s="0">
        <v>3.2</v>
      </c>
      <c r="D179" t="s" s="0">
        <v>32</v>
      </c>
      <c r="E179" s="0">
        <v>8</v>
      </c>
      <c r="F179" s="0">
        <v>1.3</v>
      </c>
      <c r="G179" s="0">
        <v>2.5</v>
      </c>
      <c r="H179" s="0">
        <v>1.1</v>
      </c>
      <c r="I179" t="s" s="0">
        <v>30</v>
      </c>
      <c r="J179" s="0">
        <v>2</v>
      </c>
      <c r="K179" s="0">
        <v>7</v>
      </c>
      <c r="L179" s="0">
        <v>5</v>
      </c>
    </row>
    <row r="180" ht="14.25">
      <c r="A180" s="0">
        <v>18</v>
      </c>
      <c r="B180" t="s" s="0">
        <v>36</v>
      </c>
      <c r="C180" s="0">
        <v>4.5</v>
      </c>
      <c r="D180" t="s" s="0">
        <v>29</v>
      </c>
      <c r="E180" s="0">
        <v>7.9</v>
      </c>
      <c r="F180" s="0">
        <v>1.4</v>
      </c>
      <c r="G180" s="0">
        <v>2.38</v>
      </c>
      <c r="H180" s="0">
        <v>0.1</v>
      </c>
      <c r="I180" t="s" s="0">
        <v>30</v>
      </c>
      <c r="J180" s="0">
        <v>7</v>
      </c>
      <c r="K180" s="0">
        <v>9</v>
      </c>
      <c r="L180" s="0">
        <v>1</v>
      </c>
    </row>
    <row r="181" ht="14.25">
      <c r="A181" s="0">
        <v>14</v>
      </c>
      <c r="B181" t="s" s="0">
        <v>36</v>
      </c>
      <c r="C181" s="0">
        <v>1.1</v>
      </c>
      <c r="D181" t="s" s="0">
        <v>29</v>
      </c>
      <c r="E181" s="0">
        <v>6.1</v>
      </c>
      <c r="F181" s="0">
        <v>2.5</v>
      </c>
      <c r="G181" s="0">
        <v>2.8</v>
      </c>
      <c r="H181" s="0">
        <v>1.8</v>
      </c>
      <c r="I181" t="s" s="0">
        <v>30</v>
      </c>
      <c r="J181" s="0">
        <v>4</v>
      </c>
      <c r="K181" s="0">
        <v>10</v>
      </c>
      <c r="L181" s="0">
        <v>3</v>
      </c>
    </row>
    <row r="182" ht="14.25">
      <c r="A182" s="0">
        <v>13</v>
      </c>
      <c r="B182" t="s" s="0">
        <v>44</v>
      </c>
      <c r="C182" s="0">
        <v>5.9</v>
      </c>
      <c r="D182" t="s" s="0">
        <v>43</v>
      </c>
      <c r="E182" s="0">
        <v>8</v>
      </c>
      <c r="F182" s="0">
        <v>2.8</v>
      </c>
      <c r="G182" s="0">
        <v>3.21</v>
      </c>
      <c r="H182" s="0">
        <v>1.6</v>
      </c>
      <c r="I182" t="s" s="0">
        <v>42</v>
      </c>
      <c r="J182" s="0">
        <v>2</v>
      </c>
      <c r="K182" s="0">
        <v>8</v>
      </c>
      <c r="L182" s="0">
        <v>8</v>
      </c>
    </row>
    <row r="183" ht="14.25">
      <c r="A183" s="0">
        <v>17</v>
      </c>
      <c r="B183" t="s" s="0">
        <v>44</v>
      </c>
      <c r="C183" s="0">
        <v>5.1</v>
      </c>
      <c r="D183" t="s" s="0">
        <v>29</v>
      </c>
      <c r="E183" s="0">
        <v>5</v>
      </c>
      <c r="F183" s="0">
        <v>2.2</v>
      </c>
      <c r="G183" s="0">
        <v>3.58</v>
      </c>
      <c r="H183" s="0">
        <v>1.2</v>
      </c>
      <c r="I183" t="s" s="0">
        <v>30</v>
      </c>
      <c r="J183" s="0">
        <v>6</v>
      </c>
      <c r="K183" s="0">
        <v>3</v>
      </c>
      <c r="L183" s="0">
        <v>9</v>
      </c>
    </row>
    <row r="184" ht="14.25">
      <c r="A184" s="0">
        <v>15</v>
      </c>
      <c r="B184" t="s" s="0">
        <v>44</v>
      </c>
      <c r="C184" s="0">
        <v>1.6</v>
      </c>
      <c r="D184" t="s" s="0">
        <v>43</v>
      </c>
      <c r="E184" s="0">
        <v>6.9</v>
      </c>
      <c r="F184" s="0">
        <v>2.3</v>
      </c>
      <c r="G184" s="0">
        <v>3.16</v>
      </c>
      <c r="H184" s="0">
        <v>0.9</v>
      </c>
      <c r="I184" t="s" s="0">
        <v>42</v>
      </c>
      <c r="J184" s="0">
        <v>3</v>
      </c>
      <c r="K184" s="0">
        <v>1</v>
      </c>
      <c r="L184" s="0">
        <v>5</v>
      </c>
    </row>
    <row r="185" ht="14.25">
      <c r="A185" s="0">
        <v>15</v>
      </c>
      <c r="B185" t="s" s="0">
        <v>36</v>
      </c>
      <c r="C185" s="0">
        <v>7.2</v>
      </c>
      <c r="D185" t="s" s="0">
        <v>32</v>
      </c>
      <c r="E185" s="0">
        <v>8</v>
      </c>
      <c r="F185" s="0">
        <v>1.4</v>
      </c>
      <c r="G185" s="0">
        <v>3.64</v>
      </c>
      <c r="H185" s="0">
        <v>0.4</v>
      </c>
      <c r="I185" t="s" s="0">
        <v>42</v>
      </c>
      <c r="J185" s="0">
        <v>10</v>
      </c>
      <c r="K185" s="0">
        <v>5</v>
      </c>
      <c r="L185" s="0">
        <v>7</v>
      </c>
    </row>
    <row r="186" ht="14.25">
      <c r="A186" s="0">
        <v>17</v>
      </c>
      <c r="B186" t="s" s="0">
        <v>36</v>
      </c>
      <c r="C186" s="0">
        <v>1.4</v>
      </c>
      <c r="D186" t="s" s="0">
        <v>43</v>
      </c>
      <c r="E186" s="0">
        <v>6.9</v>
      </c>
      <c r="F186" s="0">
        <v>2.4</v>
      </c>
      <c r="G186" s="0">
        <v>3.06</v>
      </c>
      <c r="H186" s="0">
        <v>1.9</v>
      </c>
      <c r="I186" t="s" s="0">
        <v>42</v>
      </c>
      <c r="J186" s="0">
        <v>4</v>
      </c>
      <c r="K186" s="0">
        <v>10</v>
      </c>
      <c r="L186" s="0">
        <v>8</v>
      </c>
    </row>
    <row r="187" ht="14.25">
      <c r="A187" s="0">
        <v>17</v>
      </c>
      <c r="B187" t="s" s="0">
        <v>36</v>
      </c>
      <c r="C187" s="0">
        <v>6.6</v>
      </c>
      <c r="D187" t="s" s="0">
        <v>43</v>
      </c>
      <c r="E187" s="0">
        <v>8</v>
      </c>
      <c r="F187" s="0">
        <v>2.2</v>
      </c>
      <c r="G187" s="0">
        <v>2.21</v>
      </c>
      <c r="H187" s="0">
        <v>1</v>
      </c>
      <c r="I187" t="s" s="0">
        <v>30</v>
      </c>
      <c r="J187" s="0">
        <v>10</v>
      </c>
      <c r="K187" s="0">
        <v>8</v>
      </c>
      <c r="L187" s="0">
        <v>10</v>
      </c>
    </row>
    <row r="188" ht="14.25">
      <c r="A188" s="0">
        <v>15</v>
      </c>
      <c r="B188" t="s" s="0">
        <v>36</v>
      </c>
      <c r="C188" s="0">
        <v>3.5</v>
      </c>
      <c r="D188" t="s" s="0">
        <v>43</v>
      </c>
      <c r="E188" s="0">
        <v>6.3</v>
      </c>
      <c r="F188" s="0">
        <v>0.8</v>
      </c>
      <c r="G188" s="0">
        <v>2.71</v>
      </c>
      <c r="H188" s="0">
        <v>1.8</v>
      </c>
      <c r="I188" t="s" s="0">
        <v>30</v>
      </c>
      <c r="J188" s="0">
        <v>7</v>
      </c>
      <c r="K188" s="0">
        <v>4</v>
      </c>
      <c r="L188" s="0">
        <v>2</v>
      </c>
    </row>
    <row r="189" ht="14.25">
      <c r="A189" s="0">
        <v>17</v>
      </c>
      <c r="B189" t="s" s="0">
        <v>36</v>
      </c>
      <c r="C189" s="0">
        <v>5.4</v>
      </c>
      <c r="D189" t="s" s="0">
        <v>29</v>
      </c>
      <c r="E189" s="0">
        <v>6.3</v>
      </c>
      <c r="F189" s="0">
        <v>2.8</v>
      </c>
      <c r="G189" s="0">
        <v>3.06</v>
      </c>
      <c r="H189" s="0">
        <v>0.8</v>
      </c>
      <c r="I189" t="s" s="0">
        <v>39</v>
      </c>
      <c r="J189" s="0">
        <v>3</v>
      </c>
      <c r="K189" s="0">
        <v>7</v>
      </c>
      <c r="L189" s="0">
        <v>9</v>
      </c>
    </row>
    <row r="190" ht="14.25">
      <c r="A190" s="0">
        <v>16</v>
      </c>
      <c r="B190" t="s" s="0">
        <v>36</v>
      </c>
      <c r="C190" s="0">
        <v>4.2</v>
      </c>
      <c r="D190" t="s" s="0">
        <v>29</v>
      </c>
      <c r="E190" s="0">
        <v>7.3</v>
      </c>
      <c r="F190" s="0">
        <v>1.1</v>
      </c>
      <c r="G190" s="0">
        <v>3.1</v>
      </c>
      <c r="H190" s="0">
        <v>1.6</v>
      </c>
      <c r="I190" t="s" s="0">
        <v>42</v>
      </c>
      <c r="J190" s="0">
        <v>1</v>
      </c>
      <c r="K190" s="0">
        <v>6</v>
      </c>
      <c r="L190" s="0">
        <v>2</v>
      </c>
    </row>
    <row r="191" ht="14.25">
      <c r="A191" s="0">
        <v>13</v>
      </c>
      <c r="B191" t="s" s="0">
        <v>44</v>
      </c>
      <c r="C191" s="0">
        <v>2.5</v>
      </c>
      <c r="D191" t="s" s="0">
        <v>43</v>
      </c>
      <c r="E191" s="0">
        <v>8.3</v>
      </c>
      <c r="F191" s="0">
        <v>1.6</v>
      </c>
      <c r="G191" s="0">
        <v>2.91</v>
      </c>
      <c r="H191" s="0">
        <v>0.6</v>
      </c>
      <c r="I191" t="s" s="0">
        <v>30</v>
      </c>
      <c r="J191" s="0">
        <v>10</v>
      </c>
      <c r="K191" s="0">
        <v>2</v>
      </c>
      <c r="L191" s="0">
        <v>6</v>
      </c>
    </row>
    <row r="192" ht="14.25">
      <c r="A192" s="0">
        <v>16</v>
      </c>
      <c r="B192" t="s" s="0">
        <v>36</v>
      </c>
      <c r="C192" s="0">
        <v>3.8</v>
      </c>
      <c r="D192" t="s" s="0">
        <v>32</v>
      </c>
      <c r="E192" s="0">
        <v>6</v>
      </c>
      <c r="F192" s="0">
        <v>3</v>
      </c>
      <c r="G192" s="0">
        <v>2.1</v>
      </c>
      <c r="H192" s="0">
        <v>0.2</v>
      </c>
      <c r="I192" t="s" s="0">
        <v>39</v>
      </c>
      <c r="J192" s="0">
        <v>7</v>
      </c>
      <c r="K192" s="0">
        <v>9</v>
      </c>
      <c r="L192" s="0">
        <v>1</v>
      </c>
    </row>
    <row r="193" ht="14.25">
      <c r="A193" s="0">
        <v>13</v>
      </c>
      <c r="B193" t="s" s="0">
        <v>44</v>
      </c>
      <c r="C193" s="0">
        <v>1.8</v>
      </c>
      <c r="D193" t="s" s="0">
        <v>43</v>
      </c>
      <c r="E193" s="0">
        <v>8.9</v>
      </c>
      <c r="F193" s="0">
        <v>1.2</v>
      </c>
      <c r="G193" s="0">
        <v>3.67</v>
      </c>
      <c r="H193" s="0">
        <v>0.1</v>
      </c>
      <c r="I193" t="s" s="0">
        <v>42</v>
      </c>
      <c r="J193" s="0">
        <v>2</v>
      </c>
      <c r="K193" s="0">
        <v>8</v>
      </c>
      <c r="L193" s="0">
        <v>9</v>
      </c>
    </row>
    <row r="194" ht="14.25">
      <c r="A194" s="0">
        <v>14</v>
      </c>
      <c r="B194" t="s" s="0">
        <v>44</v>
      </c>
      <c r="C194" s="0">
        <v>5.4</v>
      </c>
      <c r="D194" t="s" s="0">
        <v>43</v>
      </c>
      <c r="E194" s="0">
        <v>5.6</v>
      </c>
      <c r="F194" s="0">
        <v>1.8</v>
      </c>
      <c r="G194" s="0">
        <v>3.01</v>
      </c>
      <c r="H194" s="0">
        <v>0.9</v>
      </c>
      <c r="I194" t="s" s="0">
        <v>39</v>
      </c>
      <c r="J194" s="0">
        <v>10</v>
      </c>
      <c r="K194" s="0">
        <v>6</v>
      </c>
      <c r="L194" s="0">
        <v>8</v>
      </c>
    </row>
    <row r="195" ht="14.25">
      <c r="A195" s="0">
        <v>14</v>
      </c>
      <c r="B195" t="s" s="0">
        <v>36</v>
      </c>
      <c r="C195" s="0">
        <v>7.7</v>
      </c>
      <c r="D195" t="s" s="0">
        <v>43</v>
      </c>
      <c r="E195" s="0">
        <v>6.1</v>
      </c>
      <c r="F195" s="0">
        <v>0.8</v>
      </c>
      <c r="G195" s="0">
        <v>3.47</v>
      </c>
      <c r="H195" s="0">
        <v>1.5</v>
      </c>
      <c r="I195" t="s" s="0">
        <v>42</v>
      </c>
      <c r="J195" s="0">
        <v>9</v>
      </c>
      <c r="K195" s="0">
        <v>10</v>
      </c>
      <c r="L195" s="0">
        <v>9</v>
      </c>
    </row>
    <row r="196" ht="14.25">
      <c r="A196" s="0">
        <v>18</v>
      </c>
      <c r="B196" t="s" s="0">
        <v>36</v>
      </c>
      <c r="C196" s="0">
        <v>4.1</v>
      </c>
      <c r="D196" t="s" s="0">
        <v>43</v>
      </c>
      <c r="E196" s="0">
        <v>8</v>
      </c>
      <c r="F196" s="0">
        <v>1.7</v>
      </c>
      <c r="G196" s="0">
        <v>2.29</v>
      </c>
      <c r="H196" s="0">
        <v>1.4</v>
      </c>
      <c r="I196" t="s" s="0">
        <v>39</v>
      </c>
      <c r="J196" s="0">
        <v>2</v>
      </c>
      <c r="K196" s="0">
        <v>1</v>
      </c>
      <c r="L196" s="0">
        <v>10</v>
      </c>
    </row>
    <row r="197" ht="14.25">
      <c r="A197" s="0">
        <v>15</v>
      </c>
      <c r="B197" t="s" s="0">
        <v>36</v>
      </c>
      <c r="C197" s="0">
        <v>6.6</v>
      </c>
      <c r="D197" t="s" s="0">
        <v>29</v>
      </c>
      <c r="E197" s="0">
        <v>4.9</v>
      </c>
      <c r="F197" s="0">
        <v>3</v>
      </c>
      <c r="G197" s="0">
        <v>2.99</v>
      </c>
      <c r="H197" s="0">
        <v>0.9</v>
      </c>
      <c r="I197" t="s" s="0">
        <v>42</v>
      </c>
      <c r="J197" s="0">
        <v>4</v>
      </c>
      <c r="K197" s="0">
        <v>8</v>
      </c>
      <c r="L197" s="0">
        <v>3</v>
      </c>
    </row>
    <row r="198" ht="14.25">
      <c r="A198" s="0">
        <v>16</v>
      </c>
      <c r="B198" t="s" s="0">
        <v>44</v>
      </c>
      <c r="C198" s="0">
        <v>2.3</v>
      </c>
      <c r="D198" t="s" s="0">
        <v>29</v>
      </c>
      <c r="E198" s="0">
        <v>4.1</v>
      </c>
      <c r="F198" s="0">
        <v>0.8</v>
      </c>
      <c r="G198" s="0">
        <v>3.18</v>
      </c>
      <c r="H198" s="0">
        <v>1.7</v>
      </c>
      <c r="I198" t="s" s="0">
        <v>42</v>
      </c>
      <c r="J198" s="0">
        <v>5</v>
      </c>
      <c r="K198" s="0">
        <v>3</v>
      </c>
      <c r="L198" s="0">
        <v>8</v>
      </c>
    </row>
    <row r="199" ht="14.25">
      <c r="A199" s="0">
        <v>17</v>
      </c>
      <c r="B199" t="s" s="0">
        <v>36</v>
      </c>
      <c r="C199" s="0">
        <v>7.5</v>
      </c>
      <c r="D199" t="s" s="0">
        <v>43</v>
      </c>
      <c r="E199" s="0">
        <v>5.9</v>
      </c>
      <c r="F199" s="0">
        <v>2.9</v>
      </c>
      <c r="G199" s="0">
        <v>3.71</v>
      </c>
      <c r="H199" s="0">
        <v>1.7</v>
      </c>
      <c r="I199" t="s" s="0">
        <v>39</v>
      </c>
      <c r="J199" s="0">
        <v>3</v>
      </c>
      <c r="K199" s="0">
        <v>1</v>
      </c>
      <c r="L199" s="0">
        <v>10</v>
      </c>
    </row>
    <row r="200" ht="14.25">
      <c r="A200" s="0">
        <v>18</v>
      </c>
      <c r="B200" t="s" s="0">
        <v>44</v>
      </c>
      <c r="C200" s="0">
        <v>7.1</v>
      </c>
      <c r="D200" t="s" s="0">
        <v>43</v>
      </c>
      <c r="E200" s="0">
        <v>8</v>
      </c>
      <c r="F200" s="0">
        <v>2.9</v>
      </c>
      <c r="G200" s="0">
        <v>2.59</v>
      </c>
      <c r="H200" s="0">
        <v>1.2</v>
      </c>
      <c r="I200" t="s" s="0">
        <v>30</v>
      </c>
      <c r="J200" s="0">
        <v>10</v>
      </c>
      <c r="K200" s="0">
        <v>8</v>
      </c>
      <c r="L200" s="0">
        <v>5</v>
      </c>
    </row>
    <row r="201" ht="14.25">
      <c r="A201" s="0">
        <v>17</v>
      </c>
      <c r="B201" t="s" s="0">
        <v>36</v>
      </c>
      <c r="C201" s="0">
        <v>1.7</v>
      </c>
      <c r="D201" t="s" s="0">
        <v>29</v>
      </c>
      <c r="E201" s="0">
        <v>6.3</v>
      </c>
      <c r="F201" s="0">
        <v>1.5</v>
      </c>
      <c r="G201" s="0">
        <v>2.66</v>
      </c>
      <c r="H201" s="0">
        <v>1.8</v>
      </c>
      <c r="I201" t="s" s="0">
        <v>39</v>
      </c>
      <c r="J201" s="0">
        <v>1</v>
      </c>
      <c r="K201" s="0">
        <v>4</v>
      </c>
      <c r="L201" s="0">
        <v>10</v>
      </c>
    </row>
  </sheetData>
  <printOptions/>
  <pageMargins left="0.7" right="0.7" top="0.75" bottom="0.75" header="0.3" footer="0.3"/>
  <pageSetup/>
  <rowBreaks/>
  <colBreaks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080261B-2DAE-4FBA-A0DC-3E8D6A11578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J2:J201 </xm:sqref>
        </x14:conditionalFormatting>
        <x14:conditionalFormatting xmlns:xm="http://schemas.microsoft.com/office/excel/2006/main">
          <x14:cfRule type="iconSet" priority="2" id="{cc6008fe-f0f1-4342-8b2d-0dfc313bd8b0}">
            <x14:iconSet iconSet="3Arrow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J1:J1 J202:J65536 </xm:sqref>
        </x14:conditionalFormatting>
      </x14:conditionalFormattings>
    </ext>
  </extLst>
</worksheet>
</file>

<file path=customXml/CustomRelationsDashboard.xml><?xml version="1.0" encoding="utf-8"?>
<zs:ZSCS xmlns:mc="http://schemas.openxmlformats.org/markup-compatibility/2006" xmlns:zs="zs_custom_schema" mc:Ignorable="zs">
  <zs:charts count="3">
    <zs:chart id="rId1" type="column" subtype="default" autoExpand="1" includeHiddenCells="0" enableTooltip="1" enableAnimation="1" enable3D="0" enableGradient="0"/>
    <zs:chart id="rId2" type="column" subtype="default" autoExpand="1" includeHiddenCells="0" enableTooltip="1" enableAnimation="1" enable3D="0" enableGradient="0"/>
    <zs:chart id="rId3" type="line" subtype="default" autoExpand="1" includeHiddenCells="0" enableTooltip="1" enableAnimation="1" enable3D="0" enableGradient="0" invertChart="0"/>
  </zs:charts>
</zs:ZSCS>
</file>

<file path=customXml/CustomRelationsSummary.xml><?xml version="1.0" encoding="utf-8"?>
<zs:ZSCS xmlns:mc="http://schemas.openxmlformats.org/markup-compatibility/2006" xmlns:zs="zs_custom_schema" mc:Ignorable="zs">
  <zs:charts count="4">
    <zs:chart id="rId1" type="column" subtype="default" autoExpand="1" includeHiddenCells="0" enableTooltip="1" enableAnimation="1" enable3D="0" enableGradient="0"/>
    <zs:chart id="rId2" type="column" subtype="default" autoExpand="1" includeHiddenCells="0" enableTooltip="1" enableAnimation="1" enable3D="0" enableGradient="0"/>
    <zs:chart id="rId3" type="bar" subtype="default" autoExpand="1" includeHiddenCells="0" enableTooltip="1" enableAnimation="1" enable3D="0" enableGradient="0"/>
    <zs:chart id="rId4" type="line" subtype="default" autoExpand="1" includeHiddenCells="0" enableTooltip="1" enableAnimation="1" enable3D="0" enableGradient="0" invertChart="0"/>
  </zs:charts>
</zs:ZSCS>
</file>